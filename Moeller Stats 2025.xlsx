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5"/>
    <sheet state="visible" name="Regular Season" sheetId="2" r:id="rId6"/>
    <sheet state="visible" name="Postseason" sheetId="3" r:id="rId7"/>
    <sheet state="visible" name="Game Stats" sheetId="4" r:id="rId8"/>
    <sheet state="visible" name="POST Game Stats" sheetId="5" r:id="rId9"/>
  </sheets>
  <definedNames>
    <definedName hidden="1" localSheetId="0" name="_xlnm._FilterDatabase">Total!$A$2:$AI$22</definedName>
  </definedNames>
  <calcPr/>
</workbook>
</file>

<file path=xl/sharedStrings.xml><?xml version="1.0" encoding="utf-8"?>
<sst xmlns="http://schemas.openxmlformats.org/spreadsheetml/2006/main" count="1668" uniqueCount="466">
  <si>
    <t>PLAYER</t>
  </si>
  <si>
    <t>G</t>
  </si>
  <si>
    <t>PA</t>
  </si>
  <si>
    <t>AB</t>
  </si>
  <si>
    <t>RUNS</t>
  </si>
  <si>
    <t>HITS</t>
  </si>
  <si>
    <t>RBI</t>
  </si>
  <si>
    <t>1B</t>
  </si>
  <si>
    <t>2B</t>
  </si>
  <si>
    <t>3B</t>
  </si>
  <si>
    <t>HR</t>
  </si>
  <si>
    <t>SB</t>
  </si>
  <si>
    <t>BB</t>
  </si>
  <si>
    <t>K</t>
  </si>
  <si>
    <t>HBP</t>
  </si>
  <si>
    <t>SF</t>
  </si>
  <si>
    <t>SH</t>
  </si>
  <si>
    <t>TB</t>
  </si>
  <si>
    <t>AVG</t>
  </si>
  <si>
    <t>OBP</t>
  </si>
  <si>
    <t>SLG</t>
  </si>
  <si>
    <t>OPS</t>
  </si>
  <si>
    <t>Runs Created</t>
  </si>
  <si>
    <t>BB%</t>
  </si>
  <si>
    <t>K%</t>
  </si>
  <si>
    <t>BB/K</t>
  </si>
  <si>
    <t>AB/HR</t>
  </si>
  <si>
    <t>wOBA</t>
  </si>
  <si>
    <t>LOB</t>
  </si>
  <si>
    <t>CS</t>
  </si>
  <si>
    <t>SB%</t>
  </si>
  <si>
    <t>ERRORS</t>
  </si>
  <si>
    <t>BAbip</t>
  </si>
  <si>
    <t>ISO</t>
  </si>
  <si>
    <t>PwrSpd</t>
  </si>
  <si>
    <t>Adam Holstein (Jr)</t>
  </si>
  <si>
    <t>Adam Maybury (Jr)</t>
  </si>
  <si>
    <t>Brody Foltz (Sr)</t>
  </si>
  <si>
    <t>Carter Christenson (Sr)</t>
  </si>
  <si>
    <t>Charlie Valencic (Sr)</t>
  </si>
  <si>
    <t>Conner Cuozzo (Jr)</t>
  </si>
  <si>
    <t>Cooper Ridley (Sr)</t>
  </si>
  <si>
    <t>Donovan Glosser (So)</t>
  </si>
  <si>
    <t>Griffin Booth (Sr)</t>
  </si>
  <si>
    <t>Jackson Porta (Sr)</t>
  </si>
  <si>
    <t>Jake Bell (Sr)</t>
  </si>
  <si>
    <t>Jovan Love (Sr)</t>
  </si>
  <si>
    <t>Kayde Ridley (Jr)</t>
  </si>
  <si>
    <t>Logan Rosenberger (Sr)</t>
  </si>
  <si>
    <t>Luke Pappano (Sr)</t>
  </si>
  <si>
    <t>Matt Ponatoski (Jr)</t>
  </si>
  <si>
    <t>Noah Goettke (So)</t>
  </si>
  <si>
    <t>Teagan Cumberland (Jr)</t>
  </si>
  <si>
    <t>Will Schirmer (Sr)</t>
  </si>
  <si>
    <t>Totals</t>
  </si>
  <si>
    <t>Pitching Totals</t>
  </si>
  <si>
    <t>W-L%</t>
  </si>
  <si>
    <t>GS</t>
  </si>
  <si>
    <t>CG</t>
  </si>
  <si>
    <t>Full IP</t>
  </si>
  <si>
    <t>Partial IP</t>
  </si>
  <si>
    <t>IP</t>
  </si>
  <si>
    <t>H</t>
  </si>
  <si>
    <t>R</t>
  </si>
  <si>
    <t>ER</t>
  </si>
  <si>
    <t>W</t>
  </si>
  <si>
    <t>L</t>
  </si>
  <si>
    <t>SV</t>
  </si>
  <si>
    <t>SHO</t>
  </si>
  <si>
    <t>WHIP</t>
  </si>
  <si>
    <t>ERA</t>
  </si>
  <si>
    <t>H/7</t>
  </si>
  <si>
    <t>BB/7</t>
  </si>
  <si>
    <t>K/7</t>
  </si>
  <si>
    <t>K/9</t>
  </si>
  <si>
    <t>HR/7</t>
  </si>
  <si>
    <t>Braylon Connell (Sr)</t>
  </si>
  <si>
    <t>Connor Fuhrer (Sr)</t>
  </si>
  <si>
    <t>Connor Scoggins (Sr)</t>
  </si>
  <si>
    <t>Finn O'Keefe (Sr)</t>
  </si>
  <si>
    <t>Jake Gaerke (Jr)</t>
  </si>
  <si>
    <t>Joey Watts (Sr)</t>
  </si>
  <si>
    <t>Nathan McDowell (So)</t>
  </si>
  <si>
    <t>Zion Theophilus (Sr)</t>
  </si>
  <si>
    <t>Moeller</t>
  </si>
  <si>
    <t>INN</t>
  </si>
  <si>
    <t>Hitter</t>
  </si>
  <si>
    <t>Hitting</t>
  </si>
  <si>
    <t>SO</t>
  </si>
  <si>
    <t>Pitching</t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</si>
  <si>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</si>
  <si>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Connor Fuhrer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</si>
  <si>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</si>
  <si>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Finn O'Keefe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</si>
  <si>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</si>
  <si>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</si>
  <si>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</si>
  <si>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Joey Watts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</si>
  <si>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</si>
  <si>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t>Team</t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</si>
  <si>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</si>
  <si>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</si>
  <si>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</si>
  <si>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</si>
  <si>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Griffin Booth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</si>
  <si>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</si>
  <si>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</si>
  <si>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</si>
  <si>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</si>
  <si>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</si>
  <si>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</si>
  <si>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</si>
  <si>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</si>
  <si>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</si>
  <si>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</si>
  <si>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</si>
  <si>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Zion Theophilus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</si>
  <si>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</si>
  <si>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Joey Watts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</si>
  <si>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</si>
  <si>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</si>
  <si>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</si>
  <si>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</si>
  <si>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</si>
  <si>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</si>
  <si>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</si>
  <si>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</si>
  <si>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Connor Fuhrer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</si>
  <si>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</si>
  <si>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Jake Gaerke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</si>
  <si>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</si>
  <si>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Joey Watts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</si>
  <si>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</si>
  <si>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Adam Maybury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</si>
  <si>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</si>
  <si>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</si>
  <si>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</si>
  <si>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</si>
  <si>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</si>
  <si>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</si>
  <si>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Zion Theophilus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</si>
  <si>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</si>
  <si>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</si>
  <si>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</si>
  <si>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</si>
  <si>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</si>
  <si>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</si>
  <si>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</si>
  <si>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</si>
  <si>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</si>
  <si>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</si>
  <si>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</si>
  <si>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Logan Rosenberger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</si>
  <si>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Griffin Booth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</si>
  <si>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</si>
  <si>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Teagan Cumberland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</si>
  <si>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</si>
  <si>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Brody Foltz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</si>
  <si>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Noah Goettke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</si>
  <si>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Adam Holstein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</si>
  <si>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</si>
  <si>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Adam Maybury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</si>
  <si>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</si>
  <si>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</si>
  <si>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Kayde Ridley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</si>
  <si>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</si>
  <si>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</si>
  <si>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Connor Fuhrer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</si>
  <si>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</si>
  <si>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Gaerke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</si>
  <si>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</si>
  <si>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</si>
  <si>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</si>
  <si>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</si>
  <si>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</si>
  <si>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</si>
  <si>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</si>
  <si>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</si>
  <si>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Braylon Connell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</si>
  <si>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</si>
  <si>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Logan Rosenberger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</si>
  <si>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Griffin Booth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</si>
  <si>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Connor Scoggins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</si>
  <si>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</si>
  <si>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</si>
  <si>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Noah Goettke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</si>
  <si>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</si>
  <si>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Adam Maybury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</si>
  <si>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</si>
  <si>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</si>
  <si>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</si>
  <si>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</si>
  <si>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</si>
  <si>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</si>
  <si>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</si>
  <si>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Zion Theophilus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</si>
  <si>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</si>
  <si>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</si>
  <si>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</si>
  <si>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</si>
  <si>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</si>
  <si>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</si>
  <si>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</si>
  <si>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</si>
  <si>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</si>
  <si>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Finn O'Keefe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</si>
  <si>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Teagan Cumberland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</si>
  <si>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</si>
  <si>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</si>
  <si>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Joey Watts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</si>
  <si>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Brody Foltz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</si>
  <si>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</si>
  <si>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Noah Goettke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</si>
  <si>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Adam Holstein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</si>
  <si>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</si>
  <si>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Adam Maybury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</si>
  <si>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</si>
  <si>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</si>
  <si>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</si>
  <si>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</si>
  <si>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</si>
  <si>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</si>
  <si>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Connor Fuhrer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</si>
  <si>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</si>
  <si>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Finn O'Keefe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</si>
  <si>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</si>
  <si>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</si>
  <si>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Adam Maybury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</si>
  <si>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</si>
  <si>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</si>
  <si>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</si>
  <si>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</si>
  <si>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</si>
  <si>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</si>
  <si>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Gaerke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</si>
  <si>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</si>
  <si>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Zion Theophilus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</si>
  <si>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</si>
  <si>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Joey Watts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</si>
  <si>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Adam Maybury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</si>
  <si>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</si>
  <si>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</si>
  <si>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</si>
  <si>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</si>
  <si>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</si>
  <si>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</si>
  <si>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</si>
  <si>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Logan Rosenberger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</si>
  <si>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Griffin Booth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</si>
  <si>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Connor Scoggins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</si>
  <si>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</si>
  <si>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Adam Maybury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</si>
  <si>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</si>
  <si>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</si>
  <si>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</si>
  <si>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</si>
  <si>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</si>
  <si>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Connor Fuhrer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</si>
  <si>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</si>
  <si>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</si>
  <si>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</si>
  <si>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</si>
  <si>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</si>
  <si>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</si>
  <si>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</si>
  <si>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</si>
  <si>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</si>
  <si>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Zion Theophilus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</si>
  <si>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</si>
  <si>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</si>
  <si>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</si>
  <si>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</si>
  <si>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</si>
  <si>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</si>
  <si>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</si>
  <si>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</si>
  <si>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</si>
  <si>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Gaerke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</si>
  <si>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</si>
  <si>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Nathan McDowell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</si>
  <si>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Griffin Booth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</si>
  <si>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Connor Scoggins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</si>
  <si>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Teagan Cumberland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</si>
  <si>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</si>
  <si>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Noah Goettke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</si>
  <si>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</si>
  <si>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</si>
  <si>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</si>
  <si>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</si>
  <si>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</si>
  <si>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</si>
  <si>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</si>
  <si>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Connor Fuhrer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</si>
  <si>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</si>
  <si>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Gaerke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</si>
  <si>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</si>
  <si>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</si>
  <si>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</si>
  <si>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</si>
  <si>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</si>
  <si>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</si>
  <si>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</si>
  <si>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</si>
  <si>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</si>
  <si>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Zion Theophilus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</si>
  <si>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</si>
  <si>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</si>
  <si>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</si>
  <si>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</si>
  <si>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</si>
  <si>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</si>
  <si>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</si>
  <si>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</si>
  <si>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</si>
  <si>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</si>
  <si>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Nathan McDowell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</si>
  <si>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Griffin Booth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</si>
  <si>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Finn O'Keefe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</si>
  <si>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</si>
  <si>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</si>
  <si>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</si>
  <si>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</si>
  <si>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</si>
  <si>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</si>
  <si>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</si>
  <si>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</si>
  <si>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Gaerke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</si>
  <si>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</si>
  <si>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</si>
  <si>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</si>
  <si>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</si>
  <si>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</si>
  <si>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Connor Scoggins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</si>
  <si>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</si>
  <si>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</si>
  <si>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</si>
  <si>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</si>
  <si>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</si>
  <si>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</si>
  <si>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</si>
  <si>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</si>
  <si>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Braylon Connell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</si>
  <si>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</si>
  <si>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Finn O'Keefe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</si>
  <si>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Teagan Cumberland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</si>
  <si>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Connor Scoggins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</si>
  <si>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</si>
  <si>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Zion Theophilus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</si>
  <si>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</si>
  <si>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</si>
  <si>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Adam Maybury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</si>
  <si>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</si>
  <si>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</si>
  <si>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</si>
  <si>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</si>
  <si>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Logan Rosenberger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</si>
  <si>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</si>
  <si>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</si>
  <si>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Connor Fuhrer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</si>
  <si>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Griffin Booth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</si>
  <si>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</si>
  <si>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Teagan Cumberland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</si>
  <si>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Brody Foltz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</si>
  <si>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Adam Holstein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</si>
  <si>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</si>
  <si>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</si>
  <si>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</si>
  <si>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</si>
  <si>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</si>
  <si>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</si>
  <si>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Nathan McDowell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</si>
  <si>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</si>
  <si>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Griffin Booth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</si>
  <si>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</si>
  <si>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Brody Foltz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</si>
  <si>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</si>
  <si>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</si>
  <si>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</si>
  <si>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</si>
  <si>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Logan Rosenberger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</si>
  <si>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</si>
  <si>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</si>
  <si>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Gaerke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</si>
  <si>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</si>
  <si>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</si>
  <si>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</si>
  <si>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</si>
  <si>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</si>
  <si>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</si>
  <si>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</si>
  <si>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</si>
  <si>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</si>
  <si>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Cooper Ridley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</si>
  <si>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</si>
  <si>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</si>
  <si>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</si>
  <si>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Connor Fuhrer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</si>
  <si>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Griffin Booth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</si>
  <si>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</si>
  <si>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</si>
  <si>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Teagan Cumberland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</si>
  <si>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</si>
  <si>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Brody Foltz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</si>
  <si>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</si>
  <si>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Adam Holstein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</si>
  <si>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</si>
  <si>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Adam Maybury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</si>
  <si>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</si>
  <si>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</si>
  <si>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</si>
  <si>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Kayde Ridley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</si>
  <si>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Logan Rosenberger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</si>
  <si>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</si>
  <si>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</si>
  <si>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Jake Bell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</si>
  <si>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Griffin Booth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</si>
  <si>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Connor Fuhrer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</si>
  <si>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</si>
  <si>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Teagan Cumberland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</si>
  <si>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</si>
  <si>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Brody Foltz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</si>
  <si>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</si>
  <si>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Noah Goettke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</si>
  <si>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Adam Holstein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</si>
  <si>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</si>
  <si>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Adam Maybury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</si>
  <si>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</si>
  <si>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</si>
  <si>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</si>
  <si>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Logan Rosenberger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</si>
  <si>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</si>
  <si>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</si>
  <si>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</si>
  <si>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</si>
  <si>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</si>
  <si>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Zion Theophilus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</si>
  <si>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</si>
  <si>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</si>
  <si>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</si>
  <si>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</si>
  <si>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</si>
  <si>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</si>
  <si>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</si>
  <si>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</si>
  <si>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Braylon Connell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</si>
  <si>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</si>
  <si>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Connor Fuhrer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</si>
  <si>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</si>
  <si>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</si>
  <si>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</si>
  <si>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</si>
  <si>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</si>
  <si>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</si>
  <si>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</si>
  <si>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</si>
  <si>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Carter Christenson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</si>
  <si>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</si>
  <si>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Conner Cuozzo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</si>
  <si>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Zion Theophilus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</si>
  <si>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Donovan Glosser</t>
    </r>
    <r>
      <rPr>
        <rFont val="Trebuchet, &quot;Trebuchet MS&quot;, Verdana, sans-serif"/>
        <b/>
        <sz val="9.0"/>
      </rPr>
      <t xml:space="preserve"> (So)</t>
    </r>
  </si>
  <si>
    <r>
      <rPr>
        <rFont val="Trebuchet, &quot;Trebuchet MS&quot;, Verdana, sans-serif"/>
        <b/>
        <color rgb="FF1155CC"/>
        <sz val="9.0"/>
        <u/>
      </rPr>
      <t>Jovan Love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</si>
  <si>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Luke Pappano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</si>
  <si>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Matt Ponatoski</t>
    </r>
    <r>
      <rPr>
        <rFont val="Trebuchet, &quot;Trebuchet MS&quot;, Verdana, sans-serif"/>
        <b/>
        <sz val="9.0"/>
      </rPr>
      <t xml:space="preserve"> (Jr)</t>
    </r>
  </si>
  <si>
    <r>
      <rPr>
        <rFont val="Trebuchet, &quot;Trebuchet MS&quot;, Verdana, sans-serif"/>
        <b/>
        <color rgb="FF1155CC"/>
        <sz val="9.0"/>
        <u/>
      </rPr>
      <t>Jackson Porta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</si>
  <si>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Will Schirmer</t>
    </r>
    <r>
      <rPr>
        <rFont val="Trebuchet, &quot;Trebuchet MS&quot;, Verdana, sans-serif"/>
        <b/>
        <sz val="9.0"/>
      </rPr>
      <t xml:space="preserve"> (Sr)</t>
    </r>
  </si>
  <si>
    <r>
      <rPr>
        <rFont val="Trebuchet, &quot;Trebuchet MS&quot;, Verdana, sans-serif"/>
        <b/>
        <color rgb="FF1155CC"/>
        <sz val="9.0"/>
        <u/>
      </rPr>
      <t>Charlie Valencic</t>
    </r>
    <r>
      <rPr>
        <rFont val="Trebuchet, &quot;Trebuchet MS&quot;, Verdana, sans-serif"/>
        <b/>
        <sz val="9.0"/>
      </rPr>
      <t xml:space="preserve"> (Sr)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</si>
</sst>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23">
    <font>
      <sz val="12.0"/>
      <color theme="1"/>
      <name val="Aptos narrow"/>
      <scheme val="minor"/>
    </font>
    <font>
      <b/>
      <sz val="13.0"/>
      <color rgb="FFFFFF00"/>
      <name val="Trebuchet MS"/>
    </font>
    <font>
      <sz val="12.0"/>
      <color rgb="FFFFFF00"/>
      <name val="Trebuchet MS"/>
    </font>
    <font>
      <sz val="13.0"/>
      <color rgb="FFFFFF00"/>
      <name val="Trebuchet MS"/>
    </font>
    <font>
      <b/>
      <sz val="13.0"/>
      <color rgb="FF333333"/>
      <name val="Trebuchet MS"/>
    </font>
    <font>
      <b/>
      <sz val="13.0"/>
      <color theme="1"/>
      <name val="Trebuchet MS"/>
    </font>
    <font>
      <sz val="13.0"/>
      <color theme="1"/>
      <name val="Trebuchet MS"/>
    </font>
    <font>
      <sz val="13.0"/>
      <color rgb="FF000000"/>
      <name val="Trebuchet MS"/>
    </font>
    <font>
      <sz val="12.0"/>
      <color theme="1"/>
      <name val="Trebuchet MS"/>
    </font>
    <font>
      <sz val="13.0"/>
      <color rgb="FF444444"/>
      <name val="Trebuchet MS"/>
    </font>
    <font>
      <sz val="11.0"/>
      <color rgb="FF1F1F1F"/>
      <name val="&quot;Google Sans&quot;"/>
    </font>
    <font>
      <sz val="13.0"/>
      <color rgb="FF333333"/>
      <name val="Trebuchet MS"/>
    </font>
    <font>
      <b/>
      <color rgb="FFFFFFFF"/>
      <name val="Trebuchet"/>
    </font>
    <font/>
    <font>
      <color theme="1"/>
      <name val="Arial"/>
    </font>
    <font>
      <b/>
      <sz val="9.0"/>
      <color rgb="FF333333"/>
      <name val="Verdana"/>
    </font>
    <font>
      <b/>
      <u/>
      <sz val="9.0"/>
      <color rgb="FF0000FF"/>
      <name val="Trebuchet"/>
    </font>
    <font>
      <sz val="9.0"/>
      <color rgb="FF000000"/>
      <name val="Trebuchet"/>
    </font>
    <font>
      <sz val="9.0"/>
      <color rgb="FF000000"/>
      <name val="Arial"/>
    </font>
    <font>
      <color theme="1"/>
      <name val="Aptos narrow"/>
      <scheme val="minor"/>
    </font>
    <font>
      <sz val="11.0"/>
      <color rgb="FF000000"/>
      <name val="Trebuchet"/>
    </font>
    <font>
      <sz val="9.0"/>
      <color theme="1"/>
      <name val="Arial"/>
    </font>
    <font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1D366C"/>
        <bgColor rgb="FF1D366C"/>
      </patternFill>
    </fill>
    <fill>
      <patternFill patternType="solid">
        <fgColor rgb="FFE6E6E6"/>
        <bgColor rgb="FFE6E6E6"/>
      </patternFill>
    </fill>
    <fill>
      <patternFill patternType="solid">
        <fgColor rgb="FFECECEC"/>
        <bgColor rgb="FFECECEC"/>
      </patternFill>
    </fill>
  </fills>
  <borders count="5">
    <border/>
    <border>
      <left/>
      <right/>
      <top/>
      <bottom/>
    </border>
    <border>
      <left style="thin">
        <color rgb="FF1D366C"/>
      </left>
    </border>
    <border>
      <right style="thin">
        <color rgb="FF1D366C"/>
      </right>
    </border>
    <border>
      <bottom style="thin">
        <color rgb="FFD5D5D5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1" fillId="2" fontId="2" numFmtId="0" xfId="0" applyAlignment="1" applyBorder="1" applyFont="1">
      <alignment horizontal="right"/>
    </xf>
    <xf borderId="1" fillId="2" fontId="2" numFmtId="164" xfId="0" applyAlignment="1" applyBorder="1" applyFont="1" applyNumberFormat="1">
      <alignment horizontal="right"/>
    </xf>
    <xf borderId="1" fillId="2" fontId="3" numFmtId="0" xfId="0" applyAlignment="1" applyBorder="1" applyFont="1">
      <alignment horizontal="right"/>
    </xf>
    <xf borderId="0" fillId="2" fontId="3" numFmtId="0" xfId="0" applyAlignment="1" applyFont="1">
      <alignment horizontal="right"/>
    </xf>
    <xf borderId="0" fillId="0" fontId="4" numFmtId="0" xfId="0" applyAlignment="1" applyFont="1">
      <alignment horizontal="right"/>
    </xf>
    <xf borderId="0" fillId="0" fontId="4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3" fontId="6" numFmtId="0" xfId="0" applyAlignment="1" applyFill="1" applyFont="1">
      <alignment horizontal="right"/>
    </xf>
    <xf borderId="1" fillId="3" fontId="7" numFmtId="0" xfId="0" applyAlignment="1" applyBorder="1" applyFont="1">
      <alignment horizontal="right" readingOrder="0"/>
    </xf>
    <xf borderId="1" fillId="3" fontId="7" numFmtId="165" xfId="0" applyAlignment="1" applyBorder="1" applyFont="1" applyNumberFormat="1">
      <alignment horizontal="right"/>
    </xf>
    <xf borderId="1" fillId="3" fontId="6" numFmtId="165" xfId="0" applyAlignment="1" applyBorder="1" applyFont="1" applyNumberFormat="1">
      <alignment horizontal="right"/>
    </xf>
    <xf borderId="1" fillId="3" fontId="7" numFmtId="9" xfId="0" applyAlignment="1" applyBorder="1" applyFont="1" applyNumberFormat="1">
      <alignment horizontal="right"/>
    </xf>
    <xf borderId="1" fillId="3" fontId="6" numFmtId="9" xfId="0" applyAlignment="1" applyBorder="1" applyFont="1" applyNumberFormat="1">
      <alignment horizontal="right"/>
    </xf>
    <xf borderId="1" fillId="3" fontId="6" numFmtId="2" xfId="0" applyAlignment="1" applyBorder="1" applyFont="1" applyNumberFormat="1">
      <alignment horizontal="right"/>
    </xf>
    <xf borderId="1" fillId="3" fontId="6" numFmtId="0" xfId="0" applyAlignment="1" applyBorder="1" applyFont="1">
      <alignment horizontal="right"/>
    </xf>
    <xf borderId="0" fillId="3" fontId="6" numFmtId="1" xfId="0" applyAlignment="1" applyFont="1" applyNumberFormat="1">
      <alignment horizontal="right"/>
    </xf>
    <xf borderId="0" fillId="3" fontId="6" numFmtId="1" xfId="0" applyAlignment="1" applyFont="1" applyNumberFormat="1">
      <alignment horizontal="right" readingOrder="0"/>
    </xf>
    <xf borderId="0" fillId="3" fontId="6" numFmtId="10" xfId="0" applyAlignment="1" applyFont="1" applyNumberFormat="1">
      <alignment horizontal="right"/>
    </xf>
    <xf borderId="0" fillId="3" fontId="6" numFmtId="165" xfId="0" applyAlignment="1" applyFont="1" applyNumberFormat="1">
      <alignment horizontal="right" readingOrder="0"/>
    </xf>
    <xf borderId="0" fillId="4" fontId="6" numFmtId="0" xfId="0" applyAlignment="1" applyFill="1" applyFont="1">
      <alignment horizontal="right"/>
    </xf>
    <xf borderId="1" fillId="4" fontId="7" numFmtId="0" xfId="0" applyAlignment="1" applyBorder="1" applyFont="1">
      <alignment horizontal="right" readingOrder="0"/>
    </xf>
    <xf borderId="1" fillId="4" fontId="7" numFmtId="165" xfId="0" applyAlignment="1" applyBorder="1" applyFont="1" applyNumberFormat="1">
      <alignment horizontal="right"/>
    </xf>
    <xf borderId="1" fillId="4" fontId="6" numFmtId="165" xfId="0" applyAlignment="1" applyBorder="1" applyFont="1" applyNumberFormat="1">
      <alignment horizontal="right"/>
    </xf>
    <xf borderId="1" fillId="4" fontId="7" numFmtId="9" xfId="0" applyAlignment="1" applyBorder="1" applyFont="1" applyNumberFormat="1">
      <alignment horizontal="right"/>
    </xf>
    <xf borderId="1" fillId="4" fontId="6" numFmtId="9" xfId="0" applyAlignment="1" applyBorder="1" applyFont="1" applyNumberFormat="1">
      <alignment horizontal="right"/>
    </xf>
    <xf borderId="1" fillId="4" fontId="6" numFmtId="2" xfId="0" applyAlignment="1" applyBorder="1" applyFont="1" applyNumberFormat="1">
      <alignment horizontal="right"/>
    </xf>
    <xf borderId="1" fillId="4" fontId="6" numFmtId="0" xfId="0" applyAlignment="1" applyBorder="1" applyFont="1">
      <alignment horizontal="right"/>
    </xf>
    <xf borderId="0" fillId="4" fontId="6" numFmtId="1" xfId="0" applyAlignment="1" applyFont="1" applyNumberFormat="1">
      <alignment horizontal="right"/>
    </xf>
    <xf borderId="0" fillId="4" fontId="6" numFmtId="1" xfId="0" applyAlignment="1" applyFont="1" applyNumberFormat="1">
      <alignment horizontal="right" readingOrder="0"/>
    </xf>
    <xf borderId="0" fillId="4" fontId="6" numFmtId="10" xfId="0" applyAlignment="1" applyFont="1" applyNumberFormat="1">
      <alignment horizontal="right"/>
    </xf>
    <xf borderId="0" fillId="4" fontId="6" numFmtId="165" xfId="0" applyAlignment="1" applyFont="1" applyNumberFormat="1">
      <alignment horizontal="right" readingOrder="0"/>
    </xf>
    <xf borderId="1" fillId="2" fontId="3" numFmtId="165" xfId="0" applyAlignment="1" applyBorder="1" applyFont="1" applyNumberFormat="1">
      <alignment horizontal="right"/>
    </xf>
    <xf borderId="1" fillId="2" fontId="3" numFmtId="9" xfId="0" applyAlignment="1" applyBorder="1" applyFont="1" applyNumberFormat="1">
      <alignment horizontal="right"/>
    </xf>
    <xf borderId="1" fillId="2" fontId="3" numFmtId="2" xfId="0" applyAlignment="1" applyBorder="1" applyFont="1" applyNumberFormat="1">
      <alignment horizontal="right"/>
    </xf>
    <xf borderId="0" fillId="2" fontId="3" numFmtId="1" xfId="0" applyAlignment="1" applyFont="1" applyNumberFormat="1">
      <alignment horizontal="right"/>
    </xf>
    <xf borderId="0" fillId="2" fontId="3" numFmtId="10" xfId="0" applyAlignment="1" applyFont="1" applyNumberFormat="1">
      <alignment horizontal="right"/>
    </xf>
    <xf borderId="0" fillId="2" fontId="3" numFmtId="165" xfId="0" applyAlignment="1" applyFont="1" applyNumberFormat="1">
      <alignment horizontal="right" readingOrder="0"/>
    </xf>
    <xf borderId="0" fillId="0" fontId="8" numFmtId="0" xfId="0" applyAlignment="1" applyFont="1">
      <alignment horizontal="right"/>
    </xf>
    <xf borderId="0" fillId="0" fontId="8" numFmtId="164" xfId="0" applyAlignment="1" applyFont="1" applyNumberFormat="1">
      <alignment horizontal="right"/>
    </xf>
    <xf borderId="0" fillId="0" fontId="6" numFmtId="165" xfId="0" applyAlignment="1" applyFont="1" applyNumberFormat="1">
      <alignment horizontal="right"/>
    </xf>
    <xf borderId="0" fillId="0" fontId="4" numFmtId="0" xfId="0" applyAlignment="1" applyFont="1">
      <alignment horizontal="right" readingOrder="0"/>
    </xf>
    <xf borderId="0" fillId="0" fontId="4" numFmtId="164" xfId="0" applyAlignment="1" applyFont="1" applyNumberFormat="1">
      <alignment horizontal="right"/>
    </xf>
    <xf borderId="0" fillId="0" fontId="6" numFmtId="0" xfId="0" applyAlignment="1" applyFont="1">
      <alignment horizontal="right"/>
    </xf>
    <xf borderId="0" fillId="0" fontId="6" numFmtId="0" xfId="0" applyAlignment="1" applyFont="1">
      <alignment horizontal="right"/>
    </xf>
    <xf borderId="1" fillId="5" fontId="7" numFmtId="0" xfId="0" applyAlignment="1" applyBorder="1" applyFill="1" applyFont="1">
      <alignment horizontal="right" readingOrder="0"/>
    </xf>
    <xf borderId="1" fillId="5" fontId="7" numFmtId="9" xfId="0" applyAlignment="1" applyBorder="1" applyFont="1" applyNumberFormat="1">
      <alignment horizontal="right"/>
    </xf>
    <xf borderId="1" fillId="5" fontId="7" numFmtId="2" xfId="0" applyAlignment="1" applyBorder="1" applyFont="1" applyNumberFormat="1">
      <alignment horizontal="right" readingOrder="0"/>
    </xf>
    <xf borderId="1" fillId="3" fontId="7" numFmtId="165" xfId="0" applyAlignment="1" applyBorder="1" applyFont="1" applyNumberFormat="1">
      <alignment horizontal="right"/>
    </xf>
    <xf borderId="1" fillId="3" fontId="9" numFmtId="165" xfId="0" applyAlignment="1" applyBorder="1" applyFont="1" applyNumberFormat="1">
      <alignment horizontal="right"/>
    </xf>
    <xf borderId="0" fillId="3" fontId="7" numFmtId="165" xfId="0" applyAlignment="1" applyFont="1" applyNumberFormat="1">
      <alignment horizontal="right"/>
    </xf>
    <xf borderId="1" fillId="5" fontId="7" numFmtId="2" xfId="0" applyAlignment="1" applyBorder="1" applyFont="1" applyNumberFormat="1">
      <alignment horizontal="right"/>
    </xf>
    <xf borderId="0" fillId="3" fontId="6" numFmtId="0" xfId="0" applyAlignment="1" applyFont="1">
      <alignment horizontal="right" readingOrder="0"/>
    </xf>
    <xf borderId="0" fillId="3" fontId="6" numFmtId="0" xfId="0" applyAlignment="1" applyFont="1">
      <alignment horizontal="right"/>
    </xf>
    <xf borderId="1" fillId="4" fontId="7" numFmtId="0" xfId="0" applyAlignment="1" applyBorder="1" applyFont="1">
      <alignment horizontal="right" readingOrder="0"/>
    </xf>
    <xf borderId="1" fillId="4" fontId="7" numFmtId="9" xfId="0" applyAlignment="1" applyBorder="1" applyFont="1" applyNumberFormat="1">
      <alignment horizontal="right"/>
    </xf>
    <xf borderId="1" fillId="4" fontId="7" numFmtId="2" xfId="0" applyAlignment="1" applyBorder="1" applyFont="1" applyNumberFormat="1">
      <alignment horizontal="right" readingOrder="0"/>
    </xf>
    <xf borderId="1" fillId="4" fontId="7" numFmtId="165" xfId="0" applyAlignment="1" applyBorder="1" applyFont="1" applyNumberFormat="1">
      <alignment horizontal="right"/>
    </xf>
    <xf borderId="1" fillId="4" fontId="9" numFmtId="165" xfId="0" applyAlignment="1" applyBorder="1" applyFont="1" applyNumberFormat="1">
      <alignment horizontal="right"/>
    </xf>
    <xf borderId="0" fillId="4" fontId="7" numFmtId="165" xfId="0" applyAlignment="1" applyFont="1" applyNumberFormat="1">
      <alignment horizontal="right"/>
    </xf>
    <xf borderId="1" fillId="4" fontId="7" numFmtId="2" xfId="0" applyAlignment="1" applyBorder="1" applyFont="1" applyNumberFormat="1">
      <alignment horizontal="right"/>
    </xf>
    <xf borderId="0" fillId="4" fontId="6" numFmtId="0" xfId="0" applyAlignment="1" applyFont="1">
      <alignment horizontal="right"/>
    </xf>
    <xf borderId="1" fillId="3" fontId="7" numFmtId="2" xfId="0" applyAlignment="1" applyBorder="1" applyFont="1" applyNumberFormat="1">
      <alignment horizontal="right"/>
    </xf>
    <xf borderId="1" fillId="5" fontId="6" numFmtId="0" xfId="0" applyAlignment="1" applyBorder="1" applyFont="1">
      <alignment horizontal="right"/>
    </xf>
    <xf borderId="0" fillId="5" fontId="6" numFmtId="0" xfId="0" applyAlignment="1" applyFont="1">
      <alignment horizontal="right"/>
    </xf>
    <xf borderId="0" fillId="0" fontId="6" numFmtId="0" xfId="0" applyAlignment="1" applyFont="1">
      <alignment horizontal="right"/>
    </xf>
    <xf borderId="1" fillId="4" fontId="6" numFmtId="0" xfId="0" applyAlignment="1" applyBorder="1" applyFont="1">
      <alignment horizontal="right"/>
    </xf>
    <xf borderId="0" fillId="2" fontId="3" numFmtId="0" xfId="0" applyAlignment="1" applyFont="1">
      <alignment horizontal="right" readingOrder="0"/>
    </xf>
    <xf borderId="0" fillId="2" fontId="3" numFmtId="165" xfId="0" applyFont="1" applyNumberFormat="1"/>
    <xf borderId="0" fillId="4" fontId="10" numFmtId="0" xfId="0" applyAlignment="1" applyFont="1">
      <alignment readingOrder="0"/>
    </xf>
    <xf borderId="0" fillId="0" fontId="5" numFmtId="10" xfId="0" applyAlignment="1" applyFont="1" applyNumberFormat="1">
      <alignment horizontal="right" readingOrder="0"/>
    </xf>
    <xf borderId="0" fillId="0" fontId="6" numFmtId="0" xfId="0" applyAlignment="1" applyFont="1">
      <alignment horizontal="right"/>
    </xf>
    <xf borderId="1" fillId="5" fontId="7" numFmtId="0" xfId="0" applyAlignment="1" applyBorder="1" applyFont="1">
      <alignment horizontal="right"/>
    </xf>
    <xf borderId="1" fillId="5" fontId="7" numFmtId="165" xfId="0" applyAlignment="1" applyBorder="1" applyFont="1" applyNumberFormat="1">
      <alignment horizontal="right"/>
    </xf>
    <xf borderId="1" fillId="5" fontId="6" numFmtId="165" xfId="0" applyAlignment="1" applyBorder="1" applyFont="1" applyNumberFormat="1">
      <alignment horizontal="right"/>
    </xf>
    <xf borderId="1" fillId="5" fontId="6" numFmtId="9" xfId="0" applyAlignment="1" applyBorder="1" applyFont="1" applyNumberFormat="1">
      <alignment horizontal="right"/>
    </xf>
    <xf borderId="1" fillId="5" fontId="6" numFmtId="0" xfId="0" applyAlignment="1" applyBorder="1" applyFont="1">
      <alignment horizontal="right"/>
    </xf>
    <xf borderId="0" fillId="5" fontId="6" numFmtId="1" xfId="0" applyAlignment="1" applyFont="1" applyNumberFormat="1">
      <alignment horizontal="right"/>
    </xf>
    <xf borderId="0" fillId="5" fontId="6" numFmtId="1" xfId="0" applyAlignment="1" applyFont="1" applyNumberFormat="1">
      <alignment horizontal="right" readingOrder="0"/>
    </xf>
    <xf borderId="0" fillId="5" fontId="6" numFmtId="10" xfId="0" applyAlignment="1" applyFont="1" applyNumberFormat="1">
      <alignment horizontal="right"/>
    </xf>
    <xf borderId="0" fillId="5" fontId="6" numFmtId="165" xfId="0" applyAlignment="1" applyFont="1" applyNumberFormat="1">
      <alignment horizontal="right" readingOrder="0"/>
    </xf>
    <xf borderId="0" fillId="6" fontId="6" numFmtId="0" xfId="0" applyAlignment="1" applyFill="1" applyFont="1">
      <alignment horizontal="right"/>
    </xf>
    <xf borderId="0" fillId="7" fontId="6" numFmtId="0" xfId="0" applyAlignment="1" applyFill="1" applyFont="1">
      <alignment horizontal="right"/>
    </xf>
    <xf borderId="0" fillId="3" fontId="11" numFmtId="0" xfId="0" applyAlignment="1" applyFont="1">
      <alignment horizontal="right" readingOrder="0"/>
    </xf>
    <xf borderId="1" fillId="3" fontId="7" numFmtId="9" xfId="0" applyAlignment="1" applyBorder="1" applyFont="1" applyNumberFormat="1">
      <alignment horizontal="right"/>
    </xf>
    <xf borderId="0" fillId="4" fontId="11" numFmtId="0" xfId="0" applyAlignment="1" applyFont="1">
      <alignment horizontal="right" readingOrder="0"/>
    </xf>
    <xf borderId="0" fillId="4" fontId="7" numFmtId="0" xfId="0" applyAlignment="1" applyFont="1">
      <alignment horizontal="right" readingOrder="0"/>
    </xf>
    <xf borderId="0" fillId="4" fontId="6" numFmtId="0" xfId="0" applyAlignment="1" applyFont="1">
      <alignment horizontal="right" readingOrder="0"/>
    </xf>
    <xf borderId="1" fillId="5" fontId="6" numFmtId="0" xfId="0" applyAlignment="1" applyBorder="1" applyFont="1">
      <alignment horizontal="right" readingOrder="0"/>
    </xf>
    <xf borderId="0" fillId="4" fontId="7" numFmtId="0" xfId="0" applyAlignment="1" applyFont="1">
      <alignment horizontal="right"/>
    </xf>
    <xf borderId="0" fillId="3" fontId="7" numFmtId="0" xfId="0" applyAlignment="1" applyFont="1">
      <alignment horizontal="right"/>
    </xf>
    <xf borderId="0" fillId="3" fontId="7" numFmtId="0" xfId="0" applyAlignment="1" applyFont="1">
      <alignment horizontal="right" readingOrder="0"/>
    </xf>
    <xf borderId="1" fillId="4" fontId="6" numFmtId="0" xfId="0" applyAlignment="1" applyBorder="1" applyFont="1">
      <alignment horizontal="right" readingOrder="0"/>
    </xf>
    <xf borderId="1" fillId="2" fontId="2" numFmtId="165" xfId="0" applyAlignment="1" applyBorder="1" applyFont="1" applyNumberFormat="1">
      <alignment horizontal="right"/>
    </xf>
    <xf borderId="1" fillId="2" fontId="2" numFmtId="9" xfId="0" applyAlignment="1" applyBorder="1" applyFont="1" applyNumberFormat="1">
      <alignment horizontal="right"/>
    </xf>
    <xf borderId="1" fillId="2" fontId="2" numFmtId="2" xfId="0" applyAlignment="1" applyBorder="1" applyFont="1" applyNumberFormat="1">
      <alignment horizontal="right"/>
    </xf>
    <xf borderId="1" fillId="3" fontId="7" numFmtId="2" xfId="0" applyAlignment="1" applyBorder="1" applyFont="1" applyNumberFormat="1">
      <alignment horizontal="right" readingOrder="0"/>
    </xf>
    <xf borderId="2" fillId="8" fontId="12" numFmtId="0" xfId="0" applyAlignment="1" applyBorder="1" applyFill="1" applyFont="1">
      <alignment horizontal="left" readingOrder="0"/>
    </xf>
    <xf borderId="3" fillId="0" fontId="13" numFmtId="0" xfId="0" applyBorder="1" applyFont="1"/>
    <xf borderId="0" fillId="0" fontId="14" numFmtId="0" xfId="0" applyAlignment="1" applyFont="1">
      <alignment readingOrder="0"/>
    </xf>
    <xf borderId="4" fillId="9" fontId="15" numFmtId="0" xfId="0" applyAlignment="1" applyBorder="1" applyFill="1" applyFont="1">
      <alignment horizontal="left" readingOrder="0"/>
    </xf>
    <xf borderId="4" fillId="9" fontId="15" numFmtId="0" xfId="0" applyAlignment="1" applyBorder="1" applyFont="1">
      <alignment horizontal="right" readingOrder="0"/>
    </xf>
    <xf borderId="4" fillId="9" fontId="15" numFmtId="0" xfId="0" applyAlignment="1" applyBorder="1" applyFont="1">
      <alignment horizontal="right"/>
    </xf>
    <xf borderId="0" fillId="9" fontId="15" numFmtId="0" xfId="0" applyAlignment="1" applyFont="1">
      <alignment horizontal="right" readingOrder="0"/>
    </xf>
    <xf borderId="0" fillId="9" fontId="15" numFmtId="0" xfId="0" applyAlignment="1" applyFont="1">
      <alignment horizontal="right"/>
    </xf>
    <xf borderId="4" fillId="0" fontId="16" numFmtId="0" xfId="0" applyAlignment="1" applyBorder="1" applyFont="1">
      <alignment horizontal="left" readingOrder="0"/>
    </xf>
    <xf borderId="4" fillId="4" fontId="17" numFmtId="0" xfId="0" applyAlignment="1" applyBorder="1" applyFont="1">
      <alignment horizontal="right" readingOrder="0"/>
    </xf>
    <xf borderId="4" fillId="4" fontId="18" numFmtId="0" xfId="0" applyAlignment="1" applyBorder="1" applyFont="1">
      <alignment horizontal="right" readingOrder="0"/>
    </xf>
    <xf borderId="4" fillId="4" fontId="17" numFmtId="0" xfId="0" applyAlignment="1" applyBorder="1" applyFont="1">
      <alignment horizontal="right"/>
    </xf>
    <xf borderId="0" fillId="4" fontId="18" numFmtId="0" xfId="0" applyAlignment="1" applyFont="1">
      <alignment horizontal="right" readingOrder="0"/>
    </xf>
    <xf borderId="0" fillId="4" fontId="17" numFmtId="0" xfId="0" applyAlignment="1" applyFont="1">
      <alignment horizontal="right"/>
    </xf>
    <xf borderId="4" fillId="10" fontId="17" numFmtId="0" xfId="0" applyAlignment="1" applyBorder="1" applyFill="1" applyFont="1">
      <alignment horizontal="right" readingOrder="0"/>
    </xf>
    <xf borderId="4" fillId="10" fontId="18" numFmtId="0" xfId="0" applyAlignment="1" applyBorder="1" applyFont="1">
      <alignment horizontal="right" readingOrder="0"/>
    </xf>
    <xf borderId="4" fillId="10" fontId="17" numFmtId="0" xfId="0" applyAlignment="1" applyBorder="1" applyFont="1">
      <alignment horizontal="right"/>
    </xf>
    <xf borderId="0" fillId="10" fontId="18" numFmtId="0" xfId="0" applyAlignment="1" applyFont="1">
      <alignment horizontal="right" readingOrder="0"/>
    </xf>
    <xf borderId="0" fillId="10" fontId="17" numFmtId="0" xfId="0" applyAlignment="1" applyFont="1">
      <alignment horizontal="right"/>
    </xf>
    <xf borderId="4" fillId="4" fontId="17" numFmtId="0" xfId="0" applyAlignment="1" applyBorder="1" applyFont="1">
      <alignment horizontal="left" readingOrder="0"/>
    </xf>
    <xf borderId="0" fillId="4" fontId="17" numFmtId="0" xfId="0" applyAlignment="1" applyFont="1">
      <alignment horizontal="left"/>
    </xf>
    <xf borderId="0" fillId="0" fontId="19" numFmtId="0" xfId="0" applyFont="1"/>
    <xf borderId="4" fillId="10" fontId="17" numFmtId="0" xfId="0" applyAlignment="1" applyBorder="1" applyFont="1">
      <alignment horizontal="left" readingOrder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4" fontId="20" numFmtId="0" xfId="0" applyFont="1"/>
    <xf borderId="0" fillId="9" fontId="15" numFmtId="0" xfId="0" applyAlignment="1" applyFont="1">
      <alignment horizontal="right" vertical="bottom"/>
    </xf>
    <xf borderId="0" fillId="4" fontId="21" numFmtId="0" xfId="0" applyAlignment="1" applyFont="1">
      <alignment horizontal="right" vertical="bottom"/>
    </xf>
    <xf borderId="0" fillId="10" fontId="21" numFmtId="0" xfId="0" applyAlignment="1" applyFont="1">
      <alignment horizontal="right" vertical="bottom"/>
    </xf>
    <xf borderId="0" fillId="0" fontId="22" numFmtId="0" xfId="0" applyAlignment="1" applyFont="1">
      <alignment horizontal="right" vertical="bottom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7">
    <tableStyle count="3" pivot="0" name="Total-style">
      <tableStyleElement dxfId="1" type="headerRow"/>
      <tableStyleElement dxfId="2" type="firstRowStripe"/>
      <tableStyleElement dxfId="1" type="secondRowStripe"/>
    </tableStyle>
    <tableStyle count="3" pivot="0" name="Regular Season-style">
      <tableStyleElement dxfId="1" type="headerRow"/>
      <tableStyleElement dxfId="2" type="firstRowStripe"/>
      <tableStyleElement dxfId="1" type="secondRowStripe"/>
    </tableStyle>
    <tableStyle count="3" pivot="0" name="Regular Season-style 2">
      <tableStyleElement dxfId="1" type="headerRow"/>
      <tableStyleElement dxfId="2" type="firstRowStripe"/>
      <tableStyleElement dxfId="1" type="secondRowStripe"/>
    </tableStyle>
    <tableStyle count="3" pivot="0" name="Regular Season-style 3">
      <tableStyleElement dxfId="1" type="headerRow"/>
      <tableStyleElement dxfId="2" type="firstRowStripe"/>
      <tableStyleElement dxfId="1" type="secondRowStripe"/>
    </tableStyle>
    <tableStyle count="3" pivot="0" name="Postseason-style">
      <tableStyleElement dxfId="1" type="headerRow"/>
      <tableStyleElement dxfId="2" type="firstRowStripe"/>
      <tableStyleElement dxfId="1" type="secondRowStripe"/>
    </tableStyle>
    <tableStyle count="3" pivot="0" name="Postseason-style 2">
      <tableStyleElement dxfId="1" type="headerRow"/>
      <tableStyleElement dxfId="2" type="firstRowStripe"/>
      <tableStyleElement dxfId="1" type="secondRowStripe"/>
    </tableStyle>
    <tableStyle count="3" pivot="0" name="Postseason-style 3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6:AI38" displayName="Table_1" name="Table_1" id="1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Tot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:AI21" displayName="Table_2" name="Table_2" id="2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Regular Seas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26:A38" displayName="Table_3" name="Table_3" id="3">
  <tableColumns count="1">
    <tableColumn name="Braylon Connell (Sr)" id="1"/>
  </tableColumns>
  <tableStyleInfo name="Regular Season-style 2" showColumnStripes="0" showFirstColumn="1" showLastColumn="1" showRowStripes="1"/>
</table>
</file>

<file path=xl/tables/table4.xml><?xml version="1.0" encoding="utf-8"?>
<table xmlns="http://schemas.openxmlformats.org/spreadsheetml/2006/main" headerRowCount="0" ref="B26:AI38" displayName="Table_4" name="Table_4" id="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Regular Season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3:AI21" displayName="Table_5" name="Table_5" id="5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Postseas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26:A38" displayName="Table_6" name="Table_6" id="6">
  <tableColumns count="1">
    <tableColumn name="Braylon Connell (Sr)" id="1"/>
  </tableColumns>
  <tableStyleInfo name="Postseason-style 2" showColumnStripes="0" showFirstColumn="1" showLastColumn="1" showRowStripes="1"/>
</table>
</file>

<file path=xl/tables/table7.xml><?xml version="1.0" encoding="utf-8"?>
<table xmlns="http://schemas.openxmlformats.org/spreadsheetml/2006/main" headerRowCount="0" ref="B26:AI38" displayName="Table_7" name="Table_7" id="7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Postseason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gcls.gclsports.com/bsPlayerStats.aspx?player=826356" TargetMode="External"/><Relationship Id="rId190" Type="http://schemas.openxmlformats.org/officeDocument/2006/relationships/hyperlink" Target="https://gcls.gclsports.com/bsPlayerStats.aspx?player=826347" TargetMode="External"/><Relationship Id="rId42" Type="http://schemas.openxmlformats.org/officeDocument/2006/relationships/hyperlink" Target="https://gcls.gclsports.com/bsPlayerStats.aspx?player=826341" TargetMode="External"/><Relationship Id="rId41" Type="http://schemas.openxmlformats.org/officeDocument/2006/relationships/hyperlink" Target="https://gcls.gclsports.com/bsPlayerStats.aspx?player=826344" TargetMode="External"/><Relationship Id="rId44" Type="http://schemas.openxmlformats.org/officeDocument/2006/relationships/hyperlink" Target="https://gcls.gclsports.com/bsPlayerStats.aspx?player=826339" TargetMode="External"/><Relationship Id="rId194" Type="http://schemas.openxmlformats.org/officeDocument/2006/relationships/hyperlink" Target="https://gcls.gclsports.com/bsPlayerStats.aspx?player=826361" TargetMode="External"/><Relationship Id="rId43" Type="http://schemas.openxmlformats.org/officeDocument/2006/relationships/hyperlink" Target="https://gcls.gclsports.com/bsPlayerStats.aspx?player=826360" TargetMode="External"/><Relationship Id="rId193" Type="http://schemas.openxmlformats.org/officeDocument/2006/relationships/hyperlink" Target="https://gcls.gclsports.com/bsPlayerStats.aspx?player=826352" TargetMode="External"/><Relationship Id="rId46" Type="http://schemas.openxmlformats.org/officeDocument/2006/relationships/hyperlink" Target="https://gcls.gclsports.com/bsPlayerStats.aspx?player=826343" TargetMode="External"/><Relationship Id="rId192" Type="http://schemas.openxmlformats.org/officeDocument/2006/relationships/hyperlink" Target="https://gcls.gclsports.com/bsPlayerStats.aspx?player=826363" TargetMode="External"/><Relationship Id="rId45" Type="http://schemas.openxmlformats.org/officeDocument/2006/relationships/hyperlink" Target="https://gcls.gclsports.com/bsPlayerStats.aspx?player=826350" TargetMode="External"/><Relationship Id="rId191" Type="http://schemas.openxmlformats.org/officeDocument/2006/relationships/hyperlink" Target="https://gcls.gclsports.com/bsPlayerStats.aspx?player=826358" TargetMode="External"/><Relationship Id="rId48" Type="http://schemas.openxmlformats.org/officeDocument/2006/relationships/hyperlink" Target="https://gcls.gclsports.com/bsPlayerStats.aspx?player=826346" TargetMode="External"/><Relationship Id="rId187" Type="http://schemas.openxmlformats.org/officeDocument/2006/relationships/hyperlink" Target="https://gcls.gclsports.com/bsPlayerStats.aspx?player=826362" TargetMode="External"/><Relationship Id="rId47" Type="http://schemas.openxmlformats.org/officeDocument/2006/relationships/hyperlink" Target="https://gcls.gclsports.com/bsPlayerStats.aspx?player=826348" TargetMode="External"/><Relationship Id="rId186" Type="http://schemas.openxmlformats.org/officeDocument/2006/relationships/hyperlink" Target="https://gcls.gclsports.com/bsPlayerStats.aspx?player=826346" TargetMode="External"/><Relationship Id="rId185" Type="http://schemas.openxmlformats.org/officeDocument/2006/relationships/hyperlink" Target="https://gcls.gclsports.com/bsPlayerStats.aspx?player=826348" TargetMode="External"/><Relationship Id="rId49" Type="http://schemas.openxmlformats.org/officeDocument/2006/relationships/hyperlink" Target="https://gcls.gclsports.com/bsPlayerStats.aspx?player=826338" TargetMode="External"/><Relationship Id="rId184" Type="http://schemas.openxmlformats.org/officeDocument/2006/relationships/hyperlink" Target="https://gcls.gclsports.com/bsPlayerStats.aspx?player=826350" TargetMode="External"/><Relationship Id="rId189" Type="http://schemas.openxmlformats.org/officeDocument/2006/relationships/hyperlink" Target="https://gcls.gclsports.com/bsPlayerStats.aspx?player=826364" TargetMode="External"/><Relationship Id="rId188" Type="http://schemas.openxmlformats.org/officeDocument/2006/relationships/hyperlink" Target="https://gcls.gclsports.com/bsPlayerStats.aspx?player=826342" TargetMode="External"/><Relationship Id="rId31" Type="http://schemas.openxmlformats.org/officeDocument/2006/relationships/hyperlink" Target="https://gcls.gclsports.com/bsPlayerStats.aspx?player=826339" TargetMode="External"/><Relationship Id="rId30" Type="http://schemas.openxmlformats.org/officeDocument/2006/relationships/hyperlink" Target="https://gcls.gclsports.com/bsPlayerStats.aspx?player=826341" TargetMode="External"/><Relationship Id="rId33" Type="http://schemas.openxmlformats.org/officeDocument/2006/relationships/hyperlink" Target="https://gcls.gclsports.com/bsPlayerStats.aspx?player=826343" TargetMode="External"/><Relationship Id="rId183" Type="http://schemas.openxmlformats.org/officeDocument/2006/relationships/hyperlink" Target="https://gcls.gclsports.com/bsPlayerStats.aspx?player=826339" TargetMode="External"/><Relationship Id="rId32" Type="http://schemas.openxmlformats.org/officeDocument/2006/relationships/hyperlink" Target="https://gcls.gclsports.com/bsPlayerStats.aspx?player=826350" TargetMode="External"/><Relationship Id="rId182" Type="http://schemas.openxmlformats.org/officeDocument/2006/relationships/hyperlink" Target="https://gcls.gclsports.com/bsPlayerStats.aspx?player=826341" TargetMode="External"/><Relationship Id="rId35" Type="http://schemas.openxmlformats.org/officeDocument/2006/relationships/hyperlink" Target="https://gcls.gclsports.com/bsPlayerStats.aspx?player=826346" TargetMode="External"/><Relationship Id="rId181" Type="http://schemas.openxmlformats.org/officeDocument/2006/relationships/hyperlink" Target="https://gcls.gclsports.com/bsPlayerStats.aspx?player=826356" TargetMode="External"/><Relationship Id="rId34" Type="http://schemas.openxmlformats.org/officeDocument/2006/relationships/hyperlink" Target="https://gcls.gclsports.com/bsPlayerStats.aspx?player=826348" TargetMode="External"/><Relationship Id="rId180" Type="http://schemas.openxmlformats.org/officeDocument/2006/relationships/hyperlink" Target="https://gcls.gclsports.com/bsPlayerStats.aspx?player=826352" TargetMode="External"/><Relationship Id="rId37" Type="http://schemas.openxmlformats.org/officeDocument/2006/relationships/hyperlink" Target="https://gcls.gclsports.com/bsPlayerStats.aspx?player=826351" TargetMode="External"/><Relationship Id="rId176" Type="http://schemas.openxmlformats.org/officeDocument/2006/relationships/hyperlink" Target="https://gcls.gclsports.com/bsPlayerStats.aspx?player=826346" TargetMode="External"/><Relationship Id="rId297" Type="http://schemas.openxmlformats.org/officeDocument/2006/relationships/hyperlink" Target="https://gcls.gclsports.com/bsPlayerStats.aspx?player=826356" TargetMode="External"/><Relationship Id="rId36" Type="http://schemas.openxmlformats.org/officeDocument/2006/relationships/hyperlink" Target="https://gcls.gclsports.com/bsPlayerStats.aspx?player=826338" TargetMode="External"/><Relationship Id="rId175" Type="http://schemas.openxmlformats.org/officeDocument/2006/relationships/hyperlink" Target="https://gcls.gclsports.com/bsPlayerStats.aspx?player=826348" TargetMode="External"/><Relationship Id="rId296" Type="http://schemas.openxmlformats.org/officeDocument/2006/relationships/hyperlink" Target="https://gcls.gclsports.com/bsPlayerStats.aspx?player=826352" TargetMode="External"/><Relationship Id="rId39" Type="http://schemas.openxmlformats.org/officeDocument/2006/relationships/hyperlink" Target="https://gcls.gclsports.com/bsPlayerStats.aspx?player=826362" TargetMode="External"/><Relationship Id="rId174" Type="http://schemas.openxmlformats.org/officeDocument/2006/relationships/hyperlink" Target="https://gcls.gclsports.com/bsPlayerStats.aspx?player=826343" TargetMode="External"/><Relationship Id="rId295" Type="http://schemas.openxmlformats.org/officeDocument/2006/relationships/hyperlink" Target="https://gcls.gclsports.com/bsPlayerStats.aspx?player=826338" TargetMode="External"/><Relationship Id="rId38" Type="http://schemas.openxmlformats.org/officeDocument/2006/relationships/hyperlink" Target="https://gcls.gclsports.com/bsPlayerStats.aspx?player=826352" TargetMode="External"/><Relationship Id="rId173" Type="http://schemas.openxmlformats.org/officeDocument/2006/relationships/hyperlink" Target="https://gcls.gclsports.com/bsPlayerStats.aspx?player=826350" TargetMode="External"/><Relationship Id="rId294" Type="http://schemas.openxmlformats.org/officeDocument/2006/relationships/hyperlink" Target="https://gcls.gclsports.com/bsPlayerStats.aspx?player=826339" TargetMode="External"/><Relationship Id="rId179" Type="http://schemas.openxmlformats.org/officeDocument/2006/relationships/hyperlink" Target="https://gcls.gclsports.com/bsPlayerStats.aspx?player=826338" TargetMode="External"/><Relationship Id="rId178" Type="http://schemas.openxmlformats.org/officeDocument/2006/relationships/hyperlink" Target="https://gcls.gclsports.com/bsPlayerStats.aspx?player=826342" TargetMode="External"/><Relationship Id="rId299" Type="http://schemas.openxmlformats.org/officeDocument/2006/relationships/hyperlink" Target="https://gcls.gclsports.com/bsPlayerStats.aspx?player=826339" TargetMode="External"/><Relationship Id="rId177" Type="http://schemas.openxmlformats.org/officeDocument/2006/relationships/hyperlink" Target="https://gcls.gclsports.com/bsPlayerStats.aspx?player=826340" TargetMode="External"/><Relationship Id="rId298" Type="http://schemas.openxmlformats.org/officeDocument/2006/relationships/hyperlink" Target="https://gcls.gclsports.com/bsPlayerStats.aspx?player=826341" TargetMode="External"/><Relationship Id="rId20" Type="http://schemas.openxmlformats.org/officeDocument/2006/relationships/hyperlink" Target="https://gcls.gclsports.com/bsPlayerStats.aspx?player=826350" TargetMode="External"/><Relationship Id="rId22" Type="http://schemas.openxmlformats.org/officeDocument/2006/relationships/hyperlink" Target="https://gcls.gclsports.com/bsPlayerStats.aspx?player=826348" TargetMode="External"/><Relationship Id="rId21" Type="http://schemas.openxmlformats.org/officeDocument/2006/relationships/hyperlink" Target="https://gcls.gclsports.com/bsPlayerStats.aspx?player=826343" TargetMode="External"/><Relationship Id="rId24" Type="http://schemas.openxmlformats.org/officeDocument/2006/relationships/hyperlink" Target="https://gcls.gclsports.com/bsPlayerStats.aspx?player=826346" TargetMode="External"/><Relationship Id="rId23" Type="http://schemas.openxmlformats.org/officeDocument/2006/relationships/hyperlink" Target="https://gcls.gclsports.com/bsPlayerStats.aspx?player=826349" TargetMode="External"/><Relationship Id="rId26" Type="http://schemas.openxmlformats.org/officeDocument/2006/relationships/hyperlink" Target="https://gcls.gclsports.com/bsPlayerStats.aspx?player=826340" TargetMode="External"/><Relationship Id="rId25" Type="http://schemas.openxmlformats.org/officeDocument/2006/relationships/hyperlink" Target="https://gcls.gclsports.com/bsPlayerStats.aspx?player=826338" TargetMode="External"/><Relationship Id="rId28" Type="http://schemas.openxmlformats.org/officeDocument/2006/relationships/hyperlink" Target="https://gcls.gclsports.com/bsPlayerStats.aspx?player=826344" TargetMode="External"/><Relationship Id="rId27" Type="http://schemas.openxmlformats.org/officeDocument/2006/relationships/hyperlink" Target="https://gcls.gclsports.com/bsPlayerStats.aspx?player=826352" TargetMode="External"/><Relationship Id="rId29" Type="http://schemas.openxmlformats.org/officeDocument/2006/relationships/hyperlink" Target="https://gcls.gclsports.com/bsPlayerStats.aspx?player=826356" TargetMode="External"/><Relationship Id="rId11" Type="http://schemas.openxmlformats.org/officeDocument/2006/relationships/hyperlink" Target="https://gcls.gclsports.com/bsPlayerStats.aspx?player=826350" TargetMode="External"/><Relationship Id="rId10" Type="http://schemas.openxmlformats.org/officeDocument/2006/relationships/hyperlink" Target="https://gcls.gclsports.com/bsPlayerStats.aspx?player=826339" TargetMode="External"/><Relationship Id="rId13" Type="http://schemas.openxmlformats.org/officeDocument/2006/relationships/hyperlink" Target="https://gcls.gclsports.com/bsPlayerStats.aspx?player=826346" TargetMode="External"/><Relationship Id="rId12" Type="http://schemas.openxmlformats.org/officeDocument/2006/relationships/hyperlink" Target="https://gcls.gclsports.com/bsPlayerStats.aspx?player=826348" TargetMode="External"/><Relationship Id="rId15" Type="http://schemas.openxmlformats.org/officeDocument/2006/relationships/hyperlink" Target="https://gcls.gclsports.com/bsPlayerStats.aspx?player=826339" TargetMode="External"/><Relationship Id="rId198" Type="http://schemas.openxmlformats.org/officeDocument/2006/relationships/hyperlink" Target="https://gcls.gclsports.com/bsPlayerStats.aspx?player=826343" TargetMode="External"/><Relationship Id="rId14" Type="http://schemas.openxmlformats.org/officeDocument/2006/relationships/hyperlink" Target="https://gcls.gclsports.com/bsPlayerStats.aspx?player=826347" TargetMode="External"/><Relationship Id="rId197" Type="http://schemas.openxmlformats.org/officeDocument/2006/relationships/hyperlink" Target="https://gcls.gclsports.com/bsPlayerStats.aspx?player=826350" TargetMode="External"/><Relationship Id="rId17" Type="http://schemas.openxmlformats.org/officeDocument/2006/relationships/hyperlink" Target="https://gcls.gclsports.com/bsPlayerStats.aspx?player=826352" TargetMode="External"/><Relationship Id="rId196" Type="http://schemas.openxmlformats.org/officeDocument/2006/relationships/hyperlink" Target="https://gcls.gclsports.com/bsPlayerStats.aspx?player=826339" TargetMode="External"/><Relationship Id="rId16" Type="http://schemas.openxmlformats.org/officeDocument/2006/relationships/hyperlink" Target="https://gcls.gclsports.com/bsPlayerStats.aspx?player=826338" TargetMode="External"/><Relationship Id="rId195" Type="http://schemas.openxmlformats.org/officeDocument/2006/relationships/hyperlink" Target="https://gcls.gclsports.com/bsPlayerStats.aspx?player=826341" TargetMode="External"/><Relationship Id="rId19" Type="http://schemas.openxmlformats.org/officeDocument/2006/relationships/hyperlink" Target="https://gcls.gclsports.com/bsPlayerStats.aspx?player=826339" TargetMode="External"/><Relationship Id="rId18" Type="http://schemas.openxmlformats.org/officeDocument/2006/relationships/hyperlink" Target="https://gcls.gclsports.com/bsPlayerStats.aspx?player=826341" TargetMode="External"/><Relationship Id="rId199" Type="http://schemas.openxmlformats.org/officeDocument/2006/relationships/hyperlink" Target="https://gcls.gclsports.com/bsPlayerStats.aspx?player=826349" TargetMode="External"/><Relationship Id="rId84" Type="http://schemas.openxmlformats.org/officeDocument/2006/relationships/hyperlink" Target="https://gcls.gclsports.com/bsPlayerStats.aspx?player=826350" TargetMode="External"/><Relationship Id="rId83" Type="http://schemas.openxmlformats.org/officeDocument/2006/relationships/hyperlink" Target="https://gcls.gclsports.com/bsPlayerStats.aspx?player=826339" TargetMode="External"/><Relationship Id="rId86" Type="http://schemas.openxmlformats.org/officeDocument/2006/relationships/hyperlink" Target="https://gcls.gclsports.com/bsPlayerStats.aspx?player=826348" TargetMode="External"/><Relationship Id="rId85" Type="http://schemas.openxmlformats.org/officeDocument/2006/relationships/hyperlink" Target="https://gcls.gclsports.com/bsPlayerStats.aspx?player=826343" TargetMode="External"/><Relationship Id="rId88" Type="http://schemas.openxmlformats.org/officeDocument/2006/relationships/hyperlink" Target="https://gcls.gclsports.com/bsPlayerStats.aspx?player=826357" TargetMode="External"/><Relationship Id="rId150" Type="http://schemas.openxmlformats.org/officeDocument/2006/relationships/hyperlink" Target="https://gcls.gclsports.com/bsPlayerStats.aspx?player=826339" TargetMode="External"/><Relationship Id="rId271" Type="http://schemas.openxmlformats.org/officeDocument/2006/relationships/hyperlink" Target="https://gcls.gclsports.com/bsPlayerStats.aspx?player=826363" TargetMode="External"/><Relationship Id="rId87" Type="http://schemas.openxmlformats.org/officeDocument/2006/relationships/hyperlink" Target="https://gcls.gclsports.com/bsPlayerStats.aspx?player=826346" TargetMode="External"/><Relationship Id="rId270" Type="http://schemas.openxmlformats.org/officeDocument/2006/relationships/hyperlink" Target="https://gcls.gclsports.com/bsPlayerStats.aspx?player=826338" TargetMode="External"/><Relationship Id="rId89" Type="http://schemas.openxmlformats.org/officeDocument/2006/relationships/hyperlink" Target="https://gcls.gclsports.com/bsPlayerStats.aspx?player=826342" TargetMode="External"/><Relationship Id="rId80" Type="http://schemas.openxmlformats.org/officeDocument/2006/relationships/hyperlink" Target="https://gcls.gclsports.com/bsPlayerStats.aspx?player=826352" TargetMode="External"/><Relationship Id="rId82" Type="http://schemas.openxmlformats.org/officeDocument/2006/relationships/hyperlink" Target="https://gcls.gclsports.com/bsPlayerStats.aspx?player=826341" TargetMode="External"/><Relationship Id="rId81" Type="http://schemas.openxmlformats.org/officeDocument/2006/relationships/hyperlink" Target="https://gcls.gclsports.com/bsPlayerStats.aspx?player=826356" TargetMode="External"/><Relationship Id="rId1" Type="http://schemas.openxmlformats.org/officeDocument/2006/relationships/hyperlink" Target="https://gcls.gclsports.com/bsPlayerStats.aspx?player=826342" TargetMode="External"/><Relationship Id="rId2" Type="http://schemas.openxmlformats.org/officeDocument/2006/relationships/hyperlink" Target="https://gcls.gclsports.com/bsPlayerStats.aspx?player=826351" TargetMode="External"/><Relationship Id="rId3" Type="http://schemas.openxmlformats.org/officeDocument/2006/relationships/hyperlink" Target="https://gcls.gclsports.com/bsPlayerStats.aspx?player=826338" TargetMode="External"/><Relationship Id="rId149" Type="http://schemas.openxmlformats.org/officeDocument/2006/relationships/hyperlink" Target="https://gcls.gclsports.com/bsPlayerStats.aspx?player=826360" TargetMode="External"/><Relationship Id="rId4" Type="http://schemas.openxmlformats.org/officeDocument/2006/relationships/hyperlink" Target="https://gcls.gclsports.com/bsPlayerStats.aspx?player=826353" TargetMode="External"/><Relationship Id="rId148" Type="http://schemas.openxmlformats.org/officeDocument/2006/relationships/hyperlink" Target="https://gcls.gclsports.com/bsPlayerStats.aspx?player=826344" TargetMode="External"/><Relationship Id="rId269" Type="http://schemas.openxmlformats.org/officeDocument/2006/relationships/hyperlink" Target="https://gcls.gclsports.com/bsPlayerStats.aspx?player=826347" TargetMode="External"/><Relationship Id="rId9" Type="http://schemas.openxmlformats.org/officeDocument/2006/relationships/hyperlink" Target="https://gcls.gclsports.com/bsPlayerStats.aspx?player=826341" TargetMode="External"/><Relationship Id="rId143" Type="http://schemas.openxmlformats.org/officeDocument/2006/relationships/hyperlink" Target="https://gcls.gclsports.com/bsPlayerStats.aspx?player=826338" TargetMode="External"/><Relationship Id="rId264" Type="http://schemas.openxmlformats.org/officeDocument/2006/relationships/hyperlink" Target="https://gcls.gclsports.com/bsPlayerStats.aspx?player=826348" TargetMode="External"/><Relationship Id="rId142" Type="http://schemas.openxmlformats.org/officeDocument/2006/relationships/hyperlink" Target="https://gcls.gclsports.com/bsPlayerStats.aspx?player=826346" TargetMode="External"/><Relationship Id="rId263" Type="http://schemas.openxmlformats.org/officeDocument/2006/relationships/hyperlink" Target="https://gcls.gclsports.com/bsPlayerStats.aspx?player=826343" TargetMode="External"/><Relationship Id="rId141" Type="http://schemas.openxmlformats.org/officeDocument/2006/relationships/hyperlink" Target="https://gcls.gclsports.com/bsPlayerStats.aspx?player=826348" TargetMode="External"/><Relationship Id="rId262" Type="http://schemas.openxmlformats.org/officeDocument/2006/relationships/hyperlink" Target="https://gcls.gclsports.com/bsPlayerStats.aspx?player=826350" TargetMode="External"/><Relationship Id="rId140" Type="http://schemas.openxmlformats.org/officeDocument/2006/relationships/hyperlink" Target="https://gcls.gclsports.com/bsPlayerStats.aspx?player=826343" TargetMode="External"/><Relationship Id="rId261" Type="http://schemas.openxmlformats.org/officeDocument/2006/relationships/hyperlink" Target="https://gcls.gclsports.com/bsPlayerStats.aspx?player=826339" TargetMode="External"/><Relationship Id="rId5" Type="http://schemas.openxmlformats.org/officeDocument/2006/relationships/hyperlink" Target="https://gcls.gclsports.com/bsPlayerStats.aspx?player=826352" TargetMode="External"/><Relationship Id="rId147" Type="http://schemas.openxmlformats.org/officeDocument/2006/relationships/hyperlink" Target="https://gcls.gclsports.com/bsPlayerStats.aspx?player=826356" TargetMode="External"/><Relationship Id="rId268" Type="http://schemas.openxmlformats.org/officeDocument/2006/relationships/hyperlink" Target="https://gcls.gclsports.com/bsPlayerStats.aspx?player=826351" TargetMode="External"/><Relationship Id="rId6" Type="http://schemas.openxmlformats.org/officeDocument/2006/relationships/hyperlink" Target="https://gcls.gclsports.com/bsPlayerStats.aspx?player=826350" TargetMode="External"/><Relationship Id="rId146" Type="http://schemas.openxmlformats.org/officeDocument/2006/relationships/hyperlink" Target="https://gcls.gclsports.com/bsPlayerStats.aspx?player=826340" TargetMode="External"/><Relationship Id="rId267" Type="http://schemas.openxmlformats.org/officeDocument/2006/relationships/hyperlink" Target="https://gcls.gclsports.com/bsPlayerStats.aspx?player=826342" TargetMode="External"/><Relationship Id="rId7" Type="http://schemas.openxmlformats.org/officeDocument/2006/relationships/hyperlink" Target="https://gcls.gclsports.com/bsPlayerStats.aspx?player=826356" TargetMode="External"/><Relationship Id="rId145" Type="http://schemas.openxmlformats.org/officeDocument/2006/relationships/hyperlink" Target="https://gcls.gclsports.com/bsPlayerStats.aspx?player=826352" TargetMode="External"/><Relationship Id="rId266" Type="http://schemas.openxmlformats.org/officeDocument/2006/relationships/hyperlink" Target="https://gcls.gclsports.com/bsPlayerStats.aspx?player=826346" TargetMode="External"/><Relationship Id="rId8" Type="http://schemas.openxmlformats.org/officeDocument/2006/relationships/hyperlink" Target="https://gcls.gclsports.com/bsPlayerStats.aspx?player=826344" TargetMode="External"/><Relationship Id="rId144" Type="http://schemas.openxmlformats.org/officeDocument/2006/relationships/hyperlink" Target="https://gcls.gclsports.com/bsPlayerStats.aspx?player=826362" TargetMode="External"/><Relationship Id="rId265" Type="http://schemas.openxmlformats.org/officeDocument/2006/relationships/hyperlink" Target="https://gcls.gclsports.com/bsPlayerStats.aspx?player=826355" TargetMode="External"/><Relationship Id="rId73" Type="http://schemas.openxmlformats.org/officeDocument/2006/relationships/hyperlink" Target="https://gcls.gclsports.com/bsPlayerStats.aspx?player=826348" TargetMode="External"/><Relationship Id="rId72" Type="http://schemas.openxmlformats.org/officeDocument/2006/relationships/hyperlink" Target="https://gcls.gclsports.com/bsPlayerStats.aspx?player=826350" TargetMode="External"/><Relationship Id="rId75" Type="http://schemas.openxmlformats.org/officeDocument/2006/relationships/hyperlink" Target="https://gcls.gclsports.com/bsPlayerStats.aspx?player=826349" TargetMode="External"/><Relationship Id="rId74" Type="http://schemas.openxmlformats.org/officeDocument/2006/relationships/hyperlink" Target="https://gcls.gclsports.com/bsPlayerStats.aspx?player=826354" TargetMode="External"/><Relationship Id="rId77" Type="http://schemas.openxmlformats.org/officeDocument/2006/relationships/hyperlink" Target="https://gcls.gclsports.com/bsPlayerStats.aspx?player=826351" TargetMode="External"/><Relationship Id="rId260" Type="http://schemas.openxmlformats.org/officeDocument/2006/relationships/hyperlink" Target="https://gcls.gclsports.com/bsPlayerStats.aspx?player=826360" TargetMode="External"/><Relationship Id="rId76" Type="http://schemas.openxmlformats.org/officeDocument/2006/relationships/hyperlink" Target="https://gcls.gclsports.com/bsPlayerStats.aspx?player=826346" TargetMode="External"/><Relationship Id="rId79" Type="http://schemas.openxmlformats.org/officeDocument/2006/relationships/hyperlink" Target="https://gcls.gclsports.com/bsPlayerStats.aspx?player=826362" TargetMode="External"/><Relationship Id="rId78" Type="http://schemas.openxmlformats.org/officeDocument/2006/relationships/hyperlink" Target="https://gcls.gclsports.com/bsPlayerStats.aspx?player=826338" TargetMode="External"/><Relationship Id="rId71" Type="http://schemas.openxmlformats.org/officeDocument/2006/relationships/hyperlink" Target="https://gcls.gclsports.com/bsPlayerStats.aspx?player=826360" TargetMode="External"/><Relationship Id="rId70" Type="http://schemas.openxmlformats.org/officeDocument/2006/relationships/hyperlink" Target="https://gcls.gclsports.com/bsPlayerStats.aspx?player=826341" TargetMode="External"/><Relationship Id="rId139" Type="http://schemas.openxmlformats.org/officeDocument/2006/relationships/hyperlink" Target="https://gcls.gclsports.com/bsPlayerStats.aspx?player=826350" TargetMode="External"/><Relationship Id="rId138" Type="http://schemas.openxmlformats.org/officeDocument/2006/relationships/hyperlink" Target="https://gcls.gclsports.com/bsPlayerStats.aspx?player=826339" TargetMode="External"/><Relationship Id="rId259" Type="http://schemas.openxmlformats.org/officeDocument/2006/relationships/hyperlink" Target="https://gcls.gclsports.com/bsPlayerStats.aspx?player=826341" TargetMode="External"/><Relationship Id="rId137" Type="http://schemas.openxmlformats.org/officeDocument/2006/relationships/hyperlink" Target="https://gcls.gclsports.com/bsPlayerStats.aspx?player=826360" TargetMode="External"/><Relationship Id="rId258" Type="http://schemas.openxmlformats.org/officeDocument/2006/relationships/hyperlink" Target="https://gcls.gclsports.com/bsPlayerStats.aspx?player=826356" TargetMode="External"/><Relationship Id="rId132" Type="http://schemas.openxmlformats.org/officeDocument/2006/relationships/hyperlink" Target="https://gcls.gclsports.com/bsPlayerStats.aspx?player=826351" TargetMode="External"/><Relationship Id="rId253" Type="http://schemas.openxmlformats.org/officeDocument/2006/relationships/hyperlink" Target="https://gcls.gclsports.com/bsPlayerStats.aspx?player=826353" TargetMode="External"/><Relationship Id="rId131" Type="http://schemas.openxmlformats.org/officeDocument/2006/relationships/hyperlink" Target="https://gcls.gclsports.com/bsPlayerStats.aspx?player=826346" TargetMode="External"/><Relationship Id="rId252" Type="http://schemas.openxmlformats.org/officeDocument/2006/relationships/hyperlink" Target="https://gcls.gclsports.com/bsPlayerStats.aspx?player=826338" TargetMode="External"/><Relationship Id="rId130" Type="http://schemas.openxmlformats.org/officeDocument/2006/relationships/hyperlink" Target="https://gcls.gclsports.com/bsPlayerStats.aspx?player=826349" TargetMode="External"/><Relationship Id="rId251" Type="http://schemas.openxmlformats.org/officeDocument/2006/relationships/hyperlink" Target="https://gcls.gclsports.com/bsPlayerStats.aspx?player=826357" TargetMode="External"/><Relationship Id="rId250" Type="http://schemas.openxmlformats.org/officeDocument/2006/relationships/hyperlink" Target="https://gcls.gclsports.com/bsPlayerStats.aspx?player=826342" TargetMode="External"/><Relationship Id="rId136" Type="http://schemas.openxmlformats.org/officeDocument/2006/relationships/hyperlink" Target="https://gcls.gclsports.com/bsPlayerStats.aspx?player=826356" TargetMode="External"/><Relationship Id="rId257" Type="http://schemas.openxmlformats.org/officeDocument/2006/relationships/hyperlink" Target="https://gcls.gclsports.com/bsPlayerStats.aspx?player=826340" TargetMode="External"/><Relationship Id="rId135" Type="http://schemas.openxmlformats.org/officeDocument/2006/relationships/hyperlink" Target="https://gcls.gclsports.com/bsPlayerStats.aspx?player=826352" TargetMode="External"/><Relationship Id="rId256" Type="http://schemas.openxmlformats.org/officeDocument/2006/relationships/hyperlink" Target="https://gcls.gclsports.com/bsPlayerStats.aspx?player=826352" TargetMode="External"/><Relationship Id="rId134" Type="http://schemas.openxmlformats.org/officeDocument/2006/relationships/hyperlink" Target="https://gcls.gclsports.com/bsPlayerStats.aspx?player=826353" TargetMode="External"/><Relationship Id="rId255" Type="http://schemas.openxmlformats.org/officeDocument/2006/relationships/hyperlink" Target="https://gcls.gclsports.com/bsPlayerStats.aspx?player=826358" TargetMode="External"/><Relationship Id="rId133" Type="http://schemas.openxmlformats.org/officeDocument/2006/relationships/hyperlink" Target="https://gcls.gclsports.com/bsPlayerStats.aspx?player=826338" TargetMode="External"/><Relationship Id="rId254" Type="http://schemas.openxmlformats.org/officeDocument/2006/relationships/hyperlink" Target="https://gcls.gclsports.com/bsPlayerStats.aspx?player=826363" TargetMode="External"/><Relationship Id="rId62" Type="http://schemas.openxmlformats.org/officeDocument/2006/relationships/hyperlink" Target="https://gcls.gclsports.com/bsPlayerStats.aspx?player=826355" TargetMode="External"/><Relationship Id="rId61" Type="http://schemas.openxmlformats.org/officeDocument/2006/relationships/hyperlink" Target="https://gcls.gclsports.com/bsPlayerStats.aspx?player=826342" TargetMode="External"/><Relationship Id="rId64" Type="http://schemas.openxmlformats.org/officeDocument/2006/relationships/hyperlink" Target="https://gcls.gclsports.com/bsPlayerStats.aspx?player=826338" TargetMode="External"/><Relationship Id="rId63" Type="http://schemas.openxmlformats.org/officeDocument/2006/relationships/hyperlink" Target="https://gcls.gclsports.com/bsPlayerStats.aspx?player=826347" TargetMode="External"/><Relationship Id="rId66" Type="http://schemas.openxmlformats.org/officeDocument/2006/relationships/hyperlink" Target="https://gcls.gclsports.com/bsPlayerStats.aspx?player=826352" TargetMode="External"/><Relationship Id="rId172" Type="http://schemas.openxmlformats.org/officeDocument/2006/relationships/hyperlink" Target="https://gcls.gclsports.com/bsPlayerStats.aspx?player=826339" TargetMode="External"/><Relationship Id="rId293" Type="http://schemas.openxmlformats.org/officeDocument/2006/relationships/hyperlink" Target="https://gcls.gclsports.com/bsPlayerStats.aspx?player=826342" TargetMode="External"/><Relationship Id="rId65" Type="http://schemas.openxmlformats.org/officeDocument/2006/relationships/hyperlink" Target="https://gcls.gclsports.com/bsPlayerStats.aspx?player=826363" TargetMode="External"/><Relationship Id="rId171" Type="http://schemas.openxmlformats.org/officeDocument/2006/relationships/hyperlink" Target="https://gcls.gclsports.com/bsPlayerStats.aspx?player=826341" TargetMode="External"/><Relationship Id="rId292" Type="http://schemas.openxmlformats.org/officeDocument/2006/relationships/hyperlink" Target="https://gcls.gclsports.com/bsPlayerStats.aspx?player=826362" TargetMode="External"/><Relationship Id="rId68" Type="http://schemas.openxmlformats.org/officeDocument/2006/relationships/hyperlink" Target="https://gcls.gclsports.com/bsPlayerStats.aspx?player=826361" TargetMode="External"/><Relationship Id="rId170" Type="http://schemas.openxmlformats.org/officeDocument/2006/relationships/hyperlink" Target="https://gcls.gclsports.com/bsPlayerStats.aspx?player=826356" TargetMode="External"/><Relationship Id="rId291" Type="http://schemas.openxmlformats.org/officeDocument/2006/relationships/hyperlink" Target="https://gcls.gclsports.com/bsPlayerStats.aspx?player=826346" TargetMode="External"/><Relationship Id="rId67" Type="http://schemas.openxmlformats.org/officeDocument/2006/relationships/hyperlink" Target="https://gcls.gclsports.com/bsPlayerStats.aspx?player=826345" TargetMode="External"/><Relationship Id="rId290" Type="http://schemas.openxmlformats.org/officeDocument/2006/relationships/hyperlink" Target="https://gcls.gclsports.com/bsPlayerStats.aspx?player=826349" TargetMode="External"/><Relationship Id="rId60" Type="http://schemas.openxmlformats.org/officeDocument/2006/relationships/hyperlink" Target="https://gcls.gclsports.com/bsPlayerStats.aspx?player=826339" TargetMode="External"/><Relationship Id="rId165" Type="http://schemas.openxmlformats.org/officeDocument/2006/relationships/hyperlink" Target="https://gcls.gclsports.com/bsPlayerStats.aspx?player=826348" TargetMode="External"/><Relationship Id="rId286" Type="http://schemas.openxmlformats.org/officeDocument/2006/relationships/hyperlink" Target="https://gcls.gclsports.com/bsPlayerStats.aspx?player=826339" TargetMode="External"/><Relationship Id="rId69" Type="http://schemas.openxmlformats.org/officeDocument/2006/relationships/hyperlink" Target="https://gcls.gclsports.com/bsPlayerStats.aspx?player=826359" TargetMode="External"/><Relationship Id="rId164" Type="http://schemas.openxmlformats.org/officeDocument/2006/relationships/hyperlink" Target="https://gcls.gclsports.com/bsPlayerStats.aspx?player=826343" TargetMode="External"/><Relationship Id="rId285" Type="http://schemas.openxmlformats.org/officeDocument/2006/relationships/hyperlink" Target="https://gcls.gclsports.com/bsPlayerStats.aspx?player=826341" TargetMode="External"/><Relationship Id="rId163" Type="http://schemas.openxmlformats.org/officeDocument/2006/relationships/hyperlink" Target="https://gcls.gclsports.com/bsPlayerStats.aspx?player=826350" TargetMode="External"/><Relationship Id="rId284" Type="http://schemas.openxmlformats.org/officeDocument/2006/relationships/hyperlink" Target="https://gcls.gclsports.com/bsPlayerStats.aspx?player=826345" TargetMode="External"/><Relationship Id="rId162" Type="http://schemas.openxmlformats.org/officeDocument/2006/relationships/hyperlink" Target="https://gcls.gclsports.com/bsPlayerStats.aspx?player=826339" TargetMode="External"/><Relationship Id="rId283" Type="http://schemas.openxmlformats.org/officeDocument/2006/relationships/hyperlink" Target="https://gcls.gclsports.com/bsPlayerStats.aspx?player=826338" TargetMode="External"/><Relationship Id="rId169" Type="http://schemas.openxmlformats.org/officeDocument/2006/relationships/hyperlink" Target="https://gcls.gclsports.com/bsPlayerStats.aspx?player=826352" TargetMode="External"/><Relationship Id="rId168" Type="http://schemas.openxmlformats.org/officeDocument/2006/relationships/hyperlink" Target="https://gcls.gclsports.com/bsPlayerStats.aspx?player=826338" TargetMode="External"/><Relationship Id="rId289" Type="http://schemas.openxmlformats.org/officeDocument/2006/relationships/hyperlink" Target="https://gcls.gclsports.com/bsPlayerStats.aspx?player=826355" TargetMode="External"/><Relationship Id="rId167" Type="http://schemas.openxmlformats.org/officeDocument/2006/relationships/hyperlink" Target="https://gcls.gclsports.com/bsPlayerStats.aspx?player=826351" TargetMode="External"/><Relationship Id="rId288" Type="http://schemas.openxmlformats.org/officeDocument/2006/relationships/hyperlink" Target="https://gcls.gclsports.com/bsPlayerStats.aspx?player=826348" TargetMode="External"/><Relationship Id="rId166" Type="http://schemas.openxmlformats.org/officeDocument/2006/relationships/hyperlink" Target="https://gcls.gclsports.com/bsPlayerStats.aspx?player=826349" TargetMode="External"/><Relationship Id="rId287" Type="http://schemas.openxmlformats.org/officeDocument/2006/relationships/hyperlink" Target="https://gcls.gclsports.com/bsPlayerStats.aspx?player=826343" TargetMode="External"/><Relationship Id="rId51" Type="http://schemas.openxmlformats.org/officeDocument/2006/relationships/hyperlink" Target="https://gcls.gclsports.com/bsPlayerStats.aspx?player=826352" TargetMode="External"/><Relationship Id="rId50" Type="http://schemas.openxmlformats.org/officeDocument/2006/relationships/hyperlink" Target="https://gcls.gclsports.com/bsPlayerStats.aspx?player=826340" TargetMode="External"/><Relationship Id="rId53" Type="http://schemas.openxmlformats.org/officeDocument/2006/relationships/hyperlink" Target="https://gcls.gclsports.com/bsPlayerStats.aspx?player=826341" TargetMode="External"/><Relationship Id="rId52" Type="http://schemas.openxmlformats.org/officeDocument/2006/relationships/hyperlink" Target="https://gcls.gclsports.com/bsPlayerStats.aspx?player=826356" TargetMode="External"/><Relationship Id="rId55" Type="http://schemas.openxmlformats.org/officeDocument/2006/relationships/hyperlink" Target="https://gcls.gclsports.com/bsPlayerStats.aspx?player=826350" TargetMode="External"/><Relationship Id="rId161" Type="http://schemas.openxmlformats.org/officeDocument/2006/relationships/hyperlink" Target="https://gcls.gclsports.com/bsPlayerStats.aspx?player=826360" TargetMode="External"/><Relationship Id="rId282" Type="http://schemas.openxmlformats.org/officeDocument/2006/relationships/hyperlink" Target="https://gcls.gclsports.com/bsPlayerStats.aspx?player=826347" TargetMode="External"/><Relationship Id="rId54" Type="http://schemas.openxmlformats.org/officeDocument/2006/relationships/hyperlink" Target="https://gcls.gclsports.com/bsPlayerStats.aspx?player=826339" TargetMode="External"/><Relationship Id="rId160" Type="http://schemas.openxmlformats.org/officeDocument/2006/relationships/hyperlink" Target="https://gcls.gclsports.com/bsPlayerStats.aspx?player=826352" TargetMode="External"/><Relationship Id="rId281" Type="http://schemas.openxmlformats.org/officeDocument/2006/relationships/hyperlink" Target="https://gcls.gclsports.com/bsPlayerStats.aspx?player=826342" TargetMode="External"/><Relationship Id="rId57" Type="http://schemas.openxmlformats.org/officeDocument/2006/relationships/hyperlink" Target="https://gcls.gclsports.com/bsPlayerStats.aspx?player=826348" TargetMode="External"/><Relationship Id="rId280" Type="http://schemas.openxmlformats.org/officeDocument/2006/relationships/hyperlink" Target="https://gcls.gclsports.com/bsPlayerStats.aspx?player=826364" TargetMode="External"/><Relationship Id="rId56" Type="http://schemas.openxmlformats.org/officeDocument/2006/relationships/hyperlink" Target="https://gcls.gclsports.com/bsPlayerStats.aspx?player=826343" TargetMode="External"/><Relationship Id="rId159" Type="http://schemas.openxmlformats.org/officeDocument/2006/relationships/hyperlink" Target="https://gcls.gclsports.com/bsPlayerStats.aspx?player=826358" TargetMode="External"/><Relationship Id="rId59" Type="http://schemas.openxmlformats.org/officeDocument/2006/relationships/hyperlink" Target="https://gcls.gclsports.com/bsPlayerStats.aspx?player=826346" TargetMode="External"/><Relationship Id="rId154" Type="http://schemas.openxmlformats.org/officeDocument/2006/relationships/hyperlink" Target="https://gcls.gclsports.com/bsPlayerStats.aspx?player=826346" TargetMode="External"/><Relationship Id="rId275" Type="http://schemas.openxmlformats.org/officeDocument/2006/relationships/hyperlink" Target="https://gcls.gclsports.com/bsPlayerStats.aspx?player=826339" TargetMode="External"/><Relationship Id="rId58" Type="http://schemas.openxmlformats.org/officeDocument/2006/relationships/hyperlink" Target="https://gcls.gclsports.com/bsPlayerStats.aspx?player=826349" TargetMode="External"/><Relationship Id="rId153" Type="http://schemas.openxmlformats.org/officeDocument/2006/relationships/hyperlink" Target="https://gcls.gclsports.com/bsPlayerStats.aspx?player=826348" TargetMode="External"/><Relationship Id="rId274" Type="http://schemas.openxmlformats.org/officeDocument/2006/relationships/hyperlink" Target="https://gcls.gclsports.com/bsPlayerStats.aspx?player=826341" TargetMode="External"/><Relationship Id="rId152" Type="http://schemas.openxmlformats.org/officeDocument/2006/relationships/hyperlink" Target="https://gcls.gclsports.com/bsPlayerStats.aspx?player=826343" TargetMode="External"/><Relationship Id="rId273" Type="http://schemas.openxmlformats.org/officeDocument/2006/relationships/hyperlink" Target="https://gcls.gclsports.com/bsPlayerStats.aspx?player=826359" TargetMode="External"/><Relationship Id="rId151" Type="http://schemas.openxmlformats.org/officeDocument/2006/relationships/hyperlink" Target="https://gcls.gclsports.com/bsPlayerStats.aspx?player=826350" TargetMode="External"/><Relationship Id="rId272" Type="http://schemas.openxmlformats.org/officeDocument/2006/relationships/hyperlink" Target="https://gcls.gclsports.com/bsPlayerStats.aspx?player=826345" TargetMode="External"/><Relationship Id="rId158" Type="http://schemas.openxmlformats.org/officeDocument/2006/relationships/hyperlink" Target="https://gcls.gclsports.com/bsPlayerStats.aspx?player=826347" TargetMode="External"/><Relationship Id="rId279" Type="http://schemas.openxmlformats.org/officeDocument/2006/relationships/hyperlink" Target="https://gcls.gclsports.com/bsPlayerStats.aspx?player=826349" TargetMode="External"/><Relationship Id="rId157" Type="http://schemas.openxmlformats.org/officeDocument/2006/relationships/hyperlink" Target="https://gcls.gclsports.com/bsPlayerStats.aspx?player=826355" TargetMode="External"/><Relationship Id="rId278" Type="http://schemas.openxmlformats.org/officeDocument/2006/relationships/hyperlink" Target="https://gcls.gclsports.com/bsPlayerStats.aspx?player=826348" TargetMode="External"/><Relationship Id="rId156" Type="http://schemas.openxmlformats.org/officeDocument/2006/relationships/hyperlink" Target="https://gcls.gclsports.com/bsPlayerStats.aspx?player=826342" TargetMode="External"/><Relationship Id="rId277" Type="http://schemas.openxmlformats.org/officeDocument/2006/relationships/hyperlink" Target="https://gcls.gclsports.com/bsPlayerStats.aspx?player=826343" TargetMode="External"/><Relationship Id="rId155" Type="http://schemas.openxmlformats.org/officeDocument/2006/relationships/hyperlink" Target="https://gcls.gclsports.com/bsPlayerStats.aspx?player=826339" TargetMode="External"/><Relationship Id="rId276" Type="http://schemas.openxmlformats.org/officeDocument/2006/relationships/hyperlink" Target="https://gcls.gclsports.com/bsPlayerStats.aspx?player=826350" TargetMode="External"/><Relationship Id="rId107" Type="http://schemas.openxmlformats.org/officeDocument/2006/relationships/hyperlink" Target="https://gcls.gclsports.com/bsPlayerStats.aspx?player=826356" TargetMode="External"/><Relationship Id="rId228" Type="http://schemas.openxmlformats.org/officeDocument/2006/relationships/hyperlink" Target="https://gcls.gclsports.com/bsPlayerStats.aspx?player=826338" TargetMode="External"/><Relationship Id="rId106" Type="http://schemas.openxmlformats.org/officeDocument/2006/relationships/hyperlink" Target="https://gcls.gclsports.com/bsPlayerStats.aspx?player=826352" TargetMode="External"/><Relationship Id="rId227" Type="http://schemas.openxmlformats.org/officeDocument/2006/relationships/hyperlink" Target="https://gcls.gclsports.com/bsPlayerStats.aspx?player=826353" TargetMode="External"/><Relationship Id="rId105" Type="http://schemas.openxmlformats.org/officeDocument/2006/relationships/hyperlink" Target="https://gcls.gclsports.com/bsPlayerStats.aspx?player=826340" TargetMode="External"/><Relationship Id="rId226" Type="http://schemas.openxmlformats.org/officeDocument/2006/relationships/hyperlink" Target="https://gcls.gclsports.com/bsPlayerStats.aspx?player=826347" TargetMode="External"/><Relationship Id="rId104" Type="http://schemas.openxmlformats.org/officeDocument/2006/relationships/hyperlink" Target="https://gcls.gclsports.com/bsPlayerStats.aspx?player=826338" TargetMode="External"/><Relationship Id="rId225" Type="http://schemas.openxmlformats.org/officeDocument/2006/relationships/hyperlink" Target="https://gcls.gclsports.com/bsPlayerStats.aspx?player=826364" TargetMode="External"/><Relationship Id="rId109" Type="http://schemas.openxmlformats.org/officeDocument/2006/relationships/hyperlink" Target="https://gcls.gclsports.com/bsPlayerStats.aspx?player=826339" TargetMode="External"/><Relationship Id="rId108" Type="http://schemas.openxmlformats.org/officeDocument/2006/relationships/hyperlink" Target="https://gcls.gclsports.com/bsPlayerStats.aspx?player=826341" TargetMode="External"/><Relationship Id="rId229" Type="http://schemas.openxmlformats.org/officeDocument/2006/relationships/hyperlink" Target="https://gcls.gclsports.com/bsPlayerStats.aspx?player=826352" TargetMode="External"/><Relationship Id="rId220" Type="http://schemas.openxmlformats.org/officeDocument/2006/relationships/hyperlink" Target="https://gcls.gclsports.com/bsPlayerStats.aspx?player=826339" TargetMode="External"/><Relationship Id="rId103" Type="http://schemas.openxmlformats.org/officeDocument/2006/relationships/hyperlink" Target="https://gcls.gclsports.com/bsPlayerStats.aspx?player=826350" TargetMode="External"/><Relationship Id="rId224" Type="http://schemas.openxmlformats.org/officeDocument/2006/relationships/hyperlink" Target="https://gcls.gclsports.com/bsPlayerStats.aspx?player=826346" TargetMode="External"/><Relationship Id="rId102" Type="http://schemas.openxmlformats.org/officeDocument/2006/relationships/hyperlink" Target="https://gcls.gclsports.com/bsPlayerStats.aspx?player=826346" TargetMode="External"/><Relationship Id="rId223" Type="http://schemas.openxmlformats.org/officeDocument/2006/relationships/hyperlink" Target="https://gcls.gclsports.com/bsPlayerStats.aspx?player=826348" TargetMode="External"/><Relationship Id="rId101" Type="http://schemas.openxmlformats.org/officeDocument/2006/relationships/hyperlink" Target="https://gcls.gclsports.com/bsPlayerStats.aspx?player=826348" TargetMode="External"/><Relationship Id="rId222" Type="http://schemas.openxmlformats.org/officeDocument/2006/relationships/hyperlink" Target="https://gcls.gclsports.com/bsPlayerStats.aspx?player=826343" TargetMode="External"/><Relationship Id="rId100" Type="http://schemas.openxmlformats.org/officeDocument/2006/relationships/hyperlink" Target="https://gcls.gclsports.com/bsPlayerStats.aspx?player=826343" TargetMode="External"/><Relationship Id="rId221" Type="http://schemas.openxmlformats.org/officeDocument/2006/relationships/hyperlink" Target="https://gcls.gclsports.com/bsPlayerStats.aspx?player=826350" TargetMode="External"/><Relationship Id="rId217" Type="http://schemas.openxmlformats.org/officeDocument/2006/relationships/hyperlink" Target="https://gcls.gclsports.com/bsPlayerStats.aspx?player=826352" TargetMode="External"/><Relationship Id="rId216" Type="http://schemas.openxmlformats.org/officeDocument/2006/relationships/hyperlink" Target="https://gcls.gclsports.com/bsPlayerStats.aspx?player=826338" TargetMode="External"/><Relationship Id="rId215" Type="http://schemas.openxmlformats.org/officeDocument/2006/relationships/hyperlink" Target="https://gcls.gclsports.com/bsPlayerStats.aspx?player=826342" TargetMode="External"/><Relationship Id="rId214" Type="http://schemas.openxmlformats.org/officeDocument/2006/relationships/hyperlink" Target="https://gcls.gclsports.com/bsPlayerStats.aspx?player=826340" TargetMode="External"/><Relationship Id="rId219" Type="http://schemas.openxmlformats.org/officeDocument/2006/relationships/hyperlink" Target="https://gcls.gclsports.com/bsPlayerStats.aspx?player=826341" TargetMode="External"/><Relationship Id="rId218" Type="http://schemas.openxmlformats.org/officeDocument/2006/relationships/hyperlink" Target="https://gcls.gclsports.com/bsPlayerStats.aspx?player=826356" TargetMode="External"/><Relationship Id="rId213" Type="http://schemas.openxmlformats.org/officeDocument/2006/relationships/hyperlink" Target="https://gcls.gclsports.com/bsPlayerStats.aspx?player=826346" TargetMode="External"/><Relationship Id="rId212" Type="http://schemas.openxmlformats.org/officeDocument/2006/relationships/hyperlink" Target="https://gcls.gclsports.com/bsPlayerStats.aspx?player=826349" TargetMode="External"/><Relationship Id="rId211" Type="http://schemas.openxmlformats.org/officeDocument/2006/relationships/hyperlink" Target="https://gcls.gclsports.com/bsPlayerStats.aspx?player=826348" TargetMode="External"/><Relationship Id="rId210" Type="http://schemas.openxmlformats.org/officeDocument/2006/relationships/hyperlink" Target="https://gcls.gclsports.com/bsPlayerStats.aspx?player=826343" TargetMode="External"/><Relationship Id="rId129" Type="http://schemas.openxmlformats.org/officeDocument/2006/relationships/hyperlink" Target="https://gcls.gclsports.com/bsPlayerStats.aspx?player=826348" TargetMode="External"/><Relationship Id="rId128" Type="http://schemas.openxmlformats.org/officeDocument/2006/relationships/hyperlink" Target="https://gcls.gclsports.com/bsPlayerStats.aspx?player=826343" TargetMode="External"/><Relationship Id="rId249" Type="http://schemas.openxmlformats.org/officeDocument/2006/relationships/hyperlink" Target="https://gcls.gclsports.com/bsPlayerStats.aspx?player=826346" TargetMode="External"/><Relationship Id="rId127" Type="http://schemas.openxmlformats.org/officeDocument/2006/relationships/hyperlink" Target="https://gcls.gclsports.com/bsPlayerStats.aspx?player=826350" TargetMode="External"/><Relationship Id="rId248" Type="http://schemas.openxmlformats.org/officeDocument/2006/relationships/hyperlink" Target="https://gcls.gclsports.com/bsPlayerStats.aspx?player=826348" TargetMode="External"/><Relationship Id="rId126" Type="http://schemas.openxmlformats.org/officeDocument/2006/relationships/hyperlink" Target="https://gcls.gclsports.com/bsPlayerStats.aspx?player=826339" TargetMode="External"/><Relationship Id="rId247" Type="http://schemas.openxmlformats.org/officeDocument/2006/relationships/hyperlink" Target="https://gcls.gclsports.com/bsPlayerStats.aspx?player=826343" TargetMode="External"/><Relationship Id="rId121" Type="http://schemas.openxmlformats.org/officeDocument/2006/relationships/hyperlink" Target="https://gcls.gclsports.com/bsPlayerStats.aspx?player=826356" TargetMode="External"/><Relationship Id="rId242" Type="http://schemas.openxmlformats.org/officeDocument/2006/relationships/hyperlink" Target="https://gcls.gclsports.com/bsPlayerStats.aspx?player=826358" TargetMode="External"/><Relationship Id="rId120" Type="http://schemas.openxmlformats.org/officeDocument/2006/relationships/hyperlink" Target="https://gcls.gclsports.com/bsPlayerStats.aspx?player=826345" TargetMode="External"/><Relationship Id="rId241" Type="http://schemas.openxmlformats.org/officeDocument/2006/relationships/hyperlink" Target="https://gcls.gclsports.com/bsPlayerStats.aspx?player=826352" TargetMode="External"/><Relationship Id="rId240" Type="http://schemas.openxmlformats.org/officeDocument/2006/relationships/hyperlink" Target="https://gcls.gclsports.com/bsPlayerStats.aspx?player=826350" TargetMode="External"/><Relationship Id="rId125" Type="http://schemas.openxmlformats.org/officeDocument/2006/relationships/hyperlink" Target="https://gcls.gclsports.com/bsPlayerStats.aspx?player=826360" TargetMode="External"/><Relationship Id="rId246" Type="http://schemas.openxmlformats.org/officeDocument/2006/relationships/hyperlink" Target="https://gcls.gclsports.com/bsPlayerStats.aspx?player=826350" TargetMode="External"/><Relationship Id="rId124" Type="http://schemas.openxmlformats.org/officeDocument/2006/relationships/hyperlink" Target="https://gcls.gclsports.com/bsPlayerStats.aspx?player=826341" TargetMode="External"/><Relationship Id="rId245" Type="http://schemas.openxmlformats.org/officeDocument/2006/relationships/hyperlink" Target="https://gcls.gclsports.com/bsPlayerStats.aspx?player=826339" TargetMode="External"/><Relationship Id="rId123" Type="http://schemas.openxmlformats.org/officeDocument/2006/relationships/hyperlink" Target="https://gcls.gclsports.com/bsPlayerStats.aspx?player=826359" TargetMode="External"/><Relationship Id="rId244" Type="http://schemas.openxmlformats.org/officeDocument/2006/relationships/hyperlink" Target="https://gcls.gclsports.com/bsPlayerStats.aspx?player=826341" TargetMode="External"/><Relationship Id="rId122" Type="http://schemas.openxmlformats.org/officeDocument/2006/relationships/hyperlink" Target="https://gcls.gclsports.com/bsPlayerStats.aspx?player=826361" TargetMode="External"/><Relationship Id="rId243" Type="http://schemas.openxmlformats.org/officeDocument/2006/relationships/hyperlink" Target="https://gcls.gclsports.com/bsPlayerStats.aspx?player=826356" TargetMode="External"/><Relationship Id="rId95" Type="http://schemas.openxmlformats.org/officeDocument/2006/relationships/hyperlink" Target="https://gcls.gclsports.com/bsPlayerStats.aspx?player=826361" TargetMode="External"/><Relationship Id="rId94" Type="http://schemas.openxmlformats.org/officeDocument/2006/relationships/hyperlink" Target="https://gcls.gclsports.com/bsPlayerStats.aspx?player=826352" TargetMode="External"/><Relationship Id="rId97" Type="http://schemas.openxmlformats.org/officeDocument/2006/relationships/hyperlink" Target="https://gcls.gclsports.com/bsPlayerStats.aspx?player=826360" TargetMode="External"/><Relationship Id="rId96" Type="http://schemas.openxmlformats.org/officeDocument/2006/relationships/hyperlink" Target="https://gcls.gclsports.com/bsPlayerStats.aspx?player=826341" TargetMode="External"/><Relationship Id="rId99" Type="http://schemas.openxmlformats.org/officeDocument/2006/relationships/hyperlink" Target="https://gcls.gclsports.com/bsPlayerStats.aspx?player=826350" TargetMode="External"/><Relationship Id="rId98" Type="http://schemas.openxmlformats.org/officeDocument/2006/relationships/hyperlink" Target="https://gcls.gclsports.com/bsPlayerStats.aspx?player=826339" TargetMode="External"/><Relationship Id="rId91" Type="http://schemas.openxmlformats.org/officeDocument/2006/relationships/hyperlink" Target="https://gcls.gclsports.com/bsPlayerStats.aspx?player=826347" TargetMode="External"/><Relationship Id="rId90" Type="http://schemas.openxmlformats.org/officeDocument/2006/relationships/hyperlink" Target="https://gcls.gclsports.com/bsPlayerStats.aspx?player=826355" TargetMode="External"/><Relationship Id="rId93" Type="http://schemas.openxmlformats.org/officeDocument/2006/relationships/hyperlink" Target="https://gcls.gclsports.com/bsPlayerStats.aspx?player=826338" TargetMode="External"/><Relationship Id="rId92" Type="http://schemas.openxmlformats.org/officeDocument/2006/relationships/hyperlink" Target="https://gcls.gclsports.com/bsPlayerStats.aspx?player=826358" TargetMode="External"/><Relationship Id="rId118" Type="http://schemas.openxmlformats.org/officeDocument/2006/relationships/hyperlink" Target="https://gcls.gclsports.com/bsPlayerStats.aspx?player=826352" TargetMode="External"/><Relationship Id="rId239" Type="http://schemas.openxmlformats.org/officeDocument/2006/relationships/hyperlink" Target="https://gcls.gclsports.com/bsPlayerStats.aspx?player=826338" TargetMode="External"/><Relationship Id="rId117" Type="http://schemas.openxmlformats.org/officeDocument/2006/relationships/hyperlink" Target="https://gcls.gclsports.com/bsPlayerStats.aspx?player=826339" TargetMode="External"/><Relationship Id="rId238" Type="http://schemas.openxmlformats.org/officeDocument/2006/relationships/hyperlink" Target="https://gcls.gclsports.com/bsPlayerStats.aspx?player=826339" TargetMode="External"/><Relationship Id="rId116" Type="http://schemas.openxmlformats.org/officeDocument/2006/relationships/hyperlink" Target="https://gcls.gclsports.com/bsPlayerStats.aspx?player=826363" TargetMode="External"/><Relationship Id="rId237" Type="http://schemas.openxmlformats.org/officeDocument/2006/relationships/hyperlink" Target="https://gcls.gclsports.com/bsPlayerStats.aspx?player=826342" TargetMode="External"/><Relationship Id="rId115" Type="http://schemas.openxmlformats.org/officeDocument/2006/relationships/hyperlink" Target="https://gcls.gclsports.com/bsPlayerStats.aspx?player=826353" TargetMode="External"/><Relationship Id="rId236" Type="http://schemas.openxmlformats.org/officeDocument/2006/relationships/hyperlink" Target="https://gcls.gclsports.com/bsPlayerStats.aspx?player=826362" TargetMode="External"/><Relationship Id="rId119" Type="http://schemas.openxmlformats.org/officeDocument/2006/relationships/hyperlink" Target="https://gcls.gclsports.com/bsPlayerStats.aspx?player=826344" TargetMode="External"/><Relationship Id="rId110" Type="http://schemas.openxmlformats.org/officeDocument/2006/relationships/hyperlink" Target="https://gcls.gclsports.com/bsPlayerStats.aspx?player=826350" TargetMode="External"/><Relationship Id="rId231" Type="http://schemas.openxmlformats.org/officeDocument/2006/relationships/hyperlink" Target="https://gcls.gclsports.com/bsPlayerStats.aspx?player=826350" TargetMode="External"/><Relationship Id="rId230" Type="http://schemas.openxmlformats.org/officeDocument/2006/relationships/hyperlink" Target="https://gcls.gclsports.com/bsPlayerStats.aspx?player=826339" TargetMode="External"/><Relationship Id="rId114" Type="http://schemas.openxmlformats.org/officeDocument/2006/relationships/hyperlink" Target="https://gcls.gclsports.com/bsPlayerStats.aspx?player=826338" TargetMode="External"/><Relationship Id="rId235" Type="http://schemas.openxmlformats.org/officeDocument/2006/relationships/hyperlink" Target="https://gcls.gclsports.com/bsPlayerStats.aspx?player=826346" TargetMode="External"/><Relationship Id="rId113" Type="http://schemas.openxmlformats.org/officeDocument/2006/relationships/hyperlink" Target="https://gcls.gclsports.com/bsPlayerStats.aspx?player=826346" TargetMode="External"/><Relationship Id="rId234" Type="http://schemas.openxmlformats.org/officeDocument/2006/relationships/hyperlink" Target="https://gcls.gclsports.com/bsPlayerStats.aspx?player=826349" TargetMode="External"/><Relationship Id="rId112" Type="http://schemas.openxmlformats.org/officeDocument/2006/relationships/hyperlink" Target="https://gcls.gclsports.com/bsPlayerStats.aspx?player=826348" TargetMode="External"/><Relationship Id="rId233" Type="http://schemas.openxmlformats.org/officeDocument/2006/relationships/hyperlink" Target="https://gcls.gclsports.com/bsPlayerStats.aspx?player=826348" TargetMode="External"/><Relationship Id="rId111" Type="http://schemas.openxmlformats.org/officeDocument/2006/relationships/hyperlink" Target="https://gcls.gclsports.com/bsPlayerStats.aspx?player=826343" TargetMode="External"/><Relationship Id="rId232" Type="http://schemas.openxmlformats.org/officeDocument/2006/relationships/hyperlink" Target="https://gcls.gclsports.com/bsPlayerStats.aspx?player=826343" TargetMode="External"/><Relationship Id="rId305" Type="http://schemas.openxmlformats.org/officeDocument/2006/relationships/hyperlink" Target="https://gcls.gclsports.com/bsPlayerStats.aspx?player=826342" TargetMode="External"/><Relationship Id="rId304" Type="http://schemas.openxmlformats.org/officeDocument/2006/relationships/hyperlink" Target="https://gcls.gclsports.com/bsPlayerStats.aspx?player=826346" TargetMode="External"/><Relationship Id="rId303" Type="http://schemas.openxmlformats.org/officeDocument/2006/relationships/hyperlink" Target="https://gcls.gclsports.com/bsPlayerStats.aspx?player=826349" TargetMode="External"/><Relationship Id="rId302" Type="http://schemas.openxmlformats.org/officeDocument/2006/relationships/hyperlink" Target="https://gcls.gclsports.com/bsPlayerStats.aspx?player=826348" TargetMode="External"/><Relationship Id="rId309" Type="http://schemas.openxmlformats.org/officeDocument/2006/relationships/hyperlink" Target="https://gcls.gclsports.com/bsPlayerStats.aspx?player=826338" TargetMode="External"/><Relationship Id="rId308" Type="http://schemas.openxmlformats.org/officeDocument/2006/relationships/hyperlink" Target="https://gcls.gclsports.com/bsPlayerStats.aspx?player=826339" TargetMode="External"/><Relationship Id="rId307" Type="http://schemas.openxmlformats.org/officeDocument/2006/relationships/hyperlink" Target="https://gcls.gclsports.com/bsPlayerStats.aspx?player=826347" TargetMode="External"/><Relationship Id="rId306" Type="http://schemas.openxmlformats.org/officeDocument/2006/relationships/hyperlink" Target="https://gcls.gclsports.com/bsPlayerStats.aspx?player=826351" TargetMode="External"/><Relationship Id="rId301" Type="http://schemas.openxmlformats.org/officeDocument/2006/relationships/hyperlink" Target="https://gcls.gclsports.com/bsPlayerStats.aspx?player=826343" TargetMode="External"/><Relationship Id="rId300" Type="http://schemas.openxmlformats.org/officeDocument/2006/relationships/hyperlink" Target="https://gcls.gclsports.com/bsPlayerStats.aspx?player=826350" TargetMode="External"/><Relationship Id="rId206" Type="http://schemas.openxmlformats.org/officeDocument/2006/relationships/hyperlink" Target="https://gcls.gclsports.com/bsPlayerStats.aspx?player=826356" TargetMode="External"/><Relationship Id="rId205" Type="http://schemas.openxmlformats.org/officeDocument/2006/relationships/hyperlink" Target="https://gcls.gclsports.com/bsPlayerStats.aspx?player=826352" TargetMode="External"/><Relationship Id="rId204" Type="http://schemas.openxmlformats.org/officeDocument/2006/relationships/hyperlink" Target="https://gcls.gclsports.com/bsPlayerStats.aspx?player=826362" TargetMode="External"/><Relationship Id="rId203" Type="http://schemas.openxmlformats.org/officeDocument/2006/relationships/hyperlink" Target="https://gcls.gclsports.com/bsPlayerStats.aspx?player=826338" TargetMode="External"/><Relationship Id="rId324" Type="http://schemas.openxmlformats.org/officeDocument/2006/relationships/drawing" Target="../drawings/drawing4.xml"/><Relationship Id="rId209" Type="http://schemas.openxmlformats.org/officeDocument/2006/relationships/hyperlink" Target="https://gcls.gclsports.com/bsPlayerStats.aspx?player=826350" TargetMode="External"/><Relationship Id="rId208" Type="http://schemas.openxmlformats.org/officeDocument/2006/relationships/hyperlink" Target="https://gcls.gclsports.com/bsPlayerStats.aspx?player=826339" TargetMode="External"/><Relationship Id="rId207" Type="http://schemas.openxmlformats.org/officeDocument/2006/relationships/hyperlink" Target="https://gcls.gclsports.com/bsPlayerStats.aspx?player=826341" TargetMode="External"/><Relationship Id="rId202" Type="http://schemas.openxmlformats.org/officeDocument/2006/relationships/hyperlink" Target="https://gcls.gclsports.com/bsPlayerStats.aspx?player=826351" TargetMode="External"/><Relationship Id="rId323" Type="http://schemas.openxmlformats.org/officeDocument/2006/relationships/hyperlink" Target="https://gcls.gclsports.com/bsPlayerStats.aspx?player=826346" TargetMode="External"/><Relationship Id="rId201" Type="http://schemas.openxmlformats.org/officeDocument/2006/relationships/hyperlink" Target="https://gcls.gclsports.com/bsPlayerStats.aspx?player=826342" TargetMode="External"/><Relationship Id="rId322" Type="http://schemas.openxmlformats.org/officeDocument/2006/relationships/hyperlink" Target="https://gcls.gclsports.com/bsPlayerStats.aspx?player=826349" TargetMode="External"/><Relationship Id="rId200" Type="http://schemas.openxmlformats.org/officeDocument/2006/relationships/hyperlink" Target="https://gcls.gclsports.com/bsPlayerStats.aspx?player=826346" TargetMode="External"/><Relationship Id="rId321" Type="http://schemas.openxmlformats.org/officeDocument/2006/relationships/hyperlink" Target="https://gcls.gclsports.com/bsPlayerStats.aspx?player=826355" TargetMode="External"/><Relationship Id="rId320" Type="http://schemas.openxmlformats.org/officeDocument/2006/relationships/hyperlink" Target="https://gcls.gclsports.com/bsPlayerStats.aspx?player=826354" TargetMode="External"/><Relationship Id="rId316" Type="http://schemas.openxmlformats.org/officeDocument/2006/relationships/hyperlink" Target="https://gcls.gclsports.com/bsPlayerStats.aspx?player=826360" TargetMode="External"/><Relationship Id="rId315" Type="http://schemas.openxmlformats.org/officeDocument/2006/relationships/hyperlink" Target="https://gcls.gclsports.com/bsPlayerStats.aspx?player=826341" TargetMode="External"/><Relationship Id="rId314" Type="http://schemas.openxmlformats.org/officeDocument/2006/relationships/hyperlink" Target="https://gcls.gclsports.com/bsPlayerStats.aspx?player=826359" TargetMode="External"/><Relationship Id="rId313" Type="http://schemas.openxmlformats.org/officeDocument/2006/relationships/hyperlink" Target="https://gcls.gclsports.com/bsPlayerStats.aspx?player=826356" TargetMode="External"/><Relationship Id="rId319" Type="http://schemas.openxmlformats.org/officeDocument/2006/relationships/hyperlink" Target="https://gcls.gclsports.com/bsPlayerStats.aspx?player=826343" TargetMode="External"/><Relationship Id="rId318" Type="http://schemas.openxmlformats.org/officeDocument/2006/relationships/hyperlink" Target="https://gcls.gclsports.com/bsPlayerStats.aspx?player=826350" TargetMode="External"/><Relationship Id="rId317" Type="http://schemas.openxmlformats.org/officeDocument/2006/relationships/hyperlink" Target="https://gcls.gclsports.com/bsPlayerStats.aspx?player=826339" TargetMode="External"/><Relationship Id="rId312" Type="http://schemas.openxmlformats.org/officeDocument/2006/relationships/hyperlink" Target="https://gcls.gclsports.com/bsPlayerStats.aspx?player=826345" TargetMode="External"/><Relationship Id="rId311" Type="http://schemas.openxmlformats.org/officeDocument/2006/relationships/hyperlink" Target="https://gcls.gclsports.com/bsPlayerStats.aspx?player=826352" TargetMode="External"/><Relationship Id="rId310" Type="http://schemas.openxmlformats.org/officeDocument/2006/relationships/hyperlink" Target="https://gcls.gclsports.com/bsPlayerStats.aspx?player=826363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gcls.gclsports.com/bsPlayerStats.aspx?player=826349" TargetMode="External"/><Relationship Id="rId42" Type="http://schemas.openxmlformats.org/officeDocument/2006/relationships/hyperlink" Target="https://gcls.gclsports.com/bsPlayerStats.aspx?player=826338" TargetMode="External"/><Relationship Id="rId41" Type="http://schemas.openxmlformats.org/officeDocument/2006/relationships/hyperlink" Target="https://gcls.gclsports.com/bsPlayerStats.aspx?player=826346" TargetMode="External"/><Relationship Id="rId44" Type="http://schemas.openxmlformats.org/officeDocument/2006/relationships/hyperlink" Target="https://gcls.gclsports.com/bsPlayerStats.aspx?player=826352" TargetMode="External"/><Relationship Id="rId43" Type="http://schemas.openxmlformats.org/officeDocument/2006/relationships/hyperlink" Target="https://gcls.gclsports.com/bsPlayerStats.aspx?player=826350" TargetMode="External"/><Relationship Id="rId46" Type="http://schemas.openxmlformats.org/officeDocument/2006/relationships/hyperlink" Target="https://gcls.gclsports.com/bsPlayerStats.aspx?player=826356" TargetMode="External"/><Relationship Id="rId45" Type="http://schemas.openxmlformats.org/officeDocument/2006/relationships/hyperlink" Target="https://gcls.gclsports.com/bsPlayerStats.aspx?player=826340" TargetMode="External"/><Relationship Id="rId48" Type="http://schemas.openxmlformats.org/officeDocument/2006/relationships/hyperlink" Target="https://gcls.gclsports.com/bsPlayerStats.aspx?player=826339" TargetMode="External"/><Relationship Id="rId47" Type="http://schemas.openxmlformats.org/officeDocument/2006/relationships/hyperlink" Target="https://gcls.gclsports.com/bsPlayerStats.aspx?player=826341" TargetMode="External"/><Relationship Id="rId49" Type="http://schemas.openxmlformats.org/officeDocument/2006/relationships/hyperlink" Target="https://gcls.gclsports.com/bsPlayerStats.aspx?player=826350" TargetMode="External"/><Relationship Id="rId31" Type="http://schemas.openxmlformats.org/officeDocument/2006/relationships/hyperlink" Target="https://gcls.gclsports.com/bsPlayerStats.aspx?player=826357" TargetMode="External"/><Relationship Id="rId30" Type="http://schemas.openxmlformats.org/officeDocument/2006/relationships/hyperlink" Target="https://gcls.gclsports.com/bsPlayerStats.aspx?player=826338" TargetMode="External"/><Relationship Id="rId33" Type="http://schemas.openxmlformats.org/officeDocument/2006/relationships/hyperlink" Target="https://gcls.gclsports.com/bsPlayerStats.aspx?player=826351" TargetMode="External"/><Relationship Id="rId32" Type="http://schemas.openxmlformats.org/officeDocument/2006/relationships/hyperlink" Target="https://gcls.gclsports.com/bsPlayerStats.aspx?player=826352" TargetMode="External"/><Relationship Id="rId35" Type="http://schemas.openxmlformats.org/officeDocument/2006/relationships/hyperlink" Target="https://gcls.gclsports.com/bsPlayerStats.aspx?player=826339" TargetMode="External"/><Relationship Id="rId34" Type="http://schemas.openxmlformats.org/officeDocument/2006/relationships/hyperlink" Target="https://gcls.gclsports.com/bsPlayerStats.aspx?player=826356" TargetMode="External"/><Relationship Id="rId37" Type="http://schemas.openxmlformats.org/officeDocument/2006/relationships/hyperlink" Target="https://gcls.gclsports.com/bsPlayerStats.aspx?player=826339" TargetMode="External"/><Relationship Id="rId36" Type="http://schemas.openxmlformats.org/officeDocument/2006/relationships/hyperlink" Target="https://gcls.gclsports.com/bsPlayerStats.aspx?player=826341" TargetMode="External"/><Relationship Id="rId39" Type="http://schemas.openxmlformats.org/officeDocument/2006/relationships/hyperlink" Target="https://gcls.gclsports.com/bsPlayerStats.aspx?player=826343" TargetMode="External"/><Relationship Id="rId38" Type="http://schemas.openxmlformats.org/officeDocument/2006/relationships/hyperlink" Target="https://gcls.gclsports.com/bsPlayerStats.aspx?player=826350" TargetMode="External"/><Relationship Id="rId20" Type="http://schemas.openxmlformats.org/officeDocument/2006/relationships/hyperlink" Target="https://gcls.gclsports.com/bsPlayerStats.aspx?player=826339" TargetMode="External"/><Relationship Id="rId22" Type="http://schemas.openxmlformats.org/officeDocument/2006/relationships/hyperlink" Target="https://gcls.gclsports.com/bsPlayerStats.aspx?player=826340" TargetMode="External"/><Relationship Id="rId21" Type="http://schemas.openxmlformats.org/officeDocument/2006/relationships/hyperlink" Target="https://gcls.gclsports.com/bsPlayerStats.aspx?player=826352" TargetMode="External"/><Relationship Id="rId24" Type="http://schemas.openxmlformats.org/officeDocument/2006/relationships/hyperlink" Target="https://gcls.gclsports.com/bsPlayerStats.aspx?player=826341" TargetMode="External"/><Relationship Id="rId23" Type="http://schemas.openxmlformats.org/officeDocument/2006/relationships/hyperlink" Target="https://gcls.gclsports.com/bsPlayerStats.aspx?player=826356" TargetMode="External"/><Relationship Id="rId26" Type="http://schemas.openxmlformats.org/officeDocument/2006/relationships/hyperlink" Target="https://gcls.gclsports.com/bsPlayerStats.aspx?player=826350" TargetMode="External"/><Relationship Id="rId25" Type="http://schemas.openxmlformats.org/officeDocument/2006/relationships/hyperlink" Target="https://gcls.gclsports.com/bsPlayerStats.aspx?player=826339" TargetMode="External"/><Relationship Id="rId28" Type="http://schemas.openxmlformats.org/officeDocument/2006/relationships/hyperlink" Target="https://gcls.gclsports.com/bsPlayerStats.aspx?player=826349" TargetMode="External"/><Relationship Id="rId27" Type="http://schemas.openxmlformats.org/officeDocument/2006/relationships/hyperlink" Target="https://gcls.gclsports.com/bsPlayerStats.aspx?player=826343" TargetMode="External"/><Relationship Id="rId29" Type="http://schemas.openxmlformats.org/officeDocument/2006/relationships/hyperlink" Target="https://gcls.gclsports.com/bsPlayerStats.aspx?player=826346" TargetMode="External"/><Relationship Id="rId11" Type="http://schemas.openxmlformats.org/officeDocument/2006/relationships/hyperlink" Target="https://gcls.gclsports.com/bsPlayerStats.aspx?player=826341" TargetMode="External"/><Relationship Id="rId10" Type="http://schemas.openxmlformats.org/officeDocument/2006/relationships/hyperlink" Target="https://gcls.gclsports.com/bsPlayerStats.aspx?player=826359" TargetMode="External"/><Relationship Id="rId13" Type="http://schemas.openxmlformats.org/officeDocument/2006/relationships/hyperlink" Target="https://gcls.gclsports.com/bsPlayerStats.aspx?player=826339" TargetMode="External"/><Relationship Id="rId12" Type="http://schemas.openxmlformats.org/officeDocument/2006/relationships/hyperlink" Target="https://gcls.gclsports.com/bsPlayerStats.aspx?player=826360" TargetMode="External"/><Relationship Id="rId15" Type="http://schemas.openxmlformats.org/officeDocument/2006/relationships/hyperlink" Target="https://gcls.gclsports.com/bsPlayerStats.aspx?player=826343" TargetMode="External"/><Relationship Id="rId14" Type="http://schemas.openxmlformats.org/officeDocument/2006/relationships/hyperlink" Target="https://gcls.gclsports.com/bsPlayerStats.aspx?player=826350" TargetMode="External"/><Relationship Id="rId17" Type="http://schemas.openxmlformats.org/officeDocument/2006/relationships/hyperlink" Target="https://gcls.gclsports.com/bsPlayerStats.aspx?player=826349" TargetMode="External"/><Relationship Id="rId16" Type="http://schemas.openxmlformats.org/officeDocument/2006/relationships/hyperlink" Target="https://gcls.gclsports.com/bsPlayerStats.aspx?player=826355" TargetMode="External"/><Relationship Id="rId19" Type="http://schemas.openxmlformats.org/officeDocument/2006/relationships/hyperlink" Target="https://gcls.gclsports.com/bsPlayerStats.aspx?player=826338" TargetMode="External"/><Relationship Id="rId18" Type="http://schemas.openxmlformats.org/officeDocument/2006/relationships/hyperlink" Target="https://gcls.gclsports.com/bsPlayerStats.aspx?player=826346" TargetMode="External"/><Relationship Id="rId1" Type="http://schemas.openxmlformats.org/officeDocument/2006/relationships/hyperlink" Target="https://gcls.gclsports.com/bsPlayerStats.aspx?player=826342" TargetMode="External"/><Relationship Id="rId2" Type="http://schemas.openxmlformats.org/officeDocument/2006/relationships/hyperlink" Target="https://gcls.gclsports.com/bsPlayerStats.aspx?player=826347" TargetMode="External"/><Relationship Id="rId3" Type="http://schemas.openxmlformats.org/officeDocument/2006/relationships/hyperlink" Target="https://gcls.gclsports.com/bsPlayerStats.aspx?player=826351" TargetMode="External"/><Relationship Id="rId4" Type="http://schemas.openxmlformats.org/officeDocument/2006/relationships/hyperlink" Target="https://gcls.gclsports.com/bsPlayerStats.aspx?player=826338" TargetMode="External"/><Relationship Id="rId9" Type="http://schemas.openxmlformats.org/officeDocument/2006/relationships/hyperlink" Target="https://gcls.gclsports.com/bsPlayerStats.aspx?player=826361" TargetMode="External"/><Relationship Id="rId5" Type="http://schemas.openxmlformats.org/officeDocument/2006/relationships/hyperlink" Target="https://gcls.gclsports.com/bsPlayerStats.aspx?player=826363" TargetMode="External"/><Relationship Id="rId6" Type="http://schemas.openxmlformats.org/officeDocument/2006/relationships/hyperlink" Target="https://gcls.gclsports.com/bsPlayerStats.aspx?player=826352" TargetMode="External"/><Relationship Id="rId7" Type="http://schemas.openxmlformats.org/officeDocument/2006/relationships/hyperlink" Target="https://gcls.gclsports.com/bsPlayerStats.aspx?player=826345" TargetMode="External"/><Relationship Id="rId8" Type="http://schemas.openxmlformats.org/officeDocument/2006/relationships/hyperlink" Target="https://gcls.gclsports.com/bsPlayerStats.aspx?player=826356" TargetMode="External"/><Relationship Id="rId51" Type="http://schemas.openxmlformats.org/officeDocument/2006/relationships/hyperlink" Target="https://gcls.gclsports.com/bsPlayerStats.aspx?player=826349" TargetMode="External"/><Relationship Id="rId50" Type="http://schemas.openxmlformats.org/officeDocument/2006/relationships/hyperlink" Target="https://gcls.gclsports.com/bsPlayerStats.aspx?player=826343" TargetMode="External"/><Relationship Id="rId53" Type="http://schemas.openxmlformats.org/officeDocument/2006/relationships/drawing" Target="../drawings/drawing5.xml"/><Relationship Id="rId52" Type="http://schemas.openxmlformats.org/officeDocument/2006/relationships/hyperlink" Target="https://gcls.gclsports.com/bsPlayerStats.aspx?player=8263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22.44"/>
    <col customWidth="1" min="2" max="5" width="10.78"/>
    <col customWidth="1" min="6" max="6" width="9.11"/>
    <col customWidth="1" min="7" max="7" width="16.67"/>
    <col customWidth="1" min="8" max="19" width="10.78"/>
    <col customWidth="1" min="20" max="20" width="11.33"/>
    <col customWidth="1" min="21" max="21" width="11.44"/>
    <col customWidth="1" min="22" max="22" width="11.0"/>
    <col customWidth="1" min="23" max="23" width="17.11"/>
    <col customWidth="1" min="24" max="25" width="11.0"/>
    <col customWidth="1" min="26" max="26" width="11.67"/>
    <col customWidth="1" min="27" max="35" width="10.78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2"/>
      <c r="AB1" s="4"/>
      <c r="AC1" s="5"/>
      <c r="AD1" s="5"/>
      <c r="AE1" s="5"/>
      <c r="AF1" s="5"/>
      <c r="AG1" s="5"/>
      <c r="AH1" s="5"/>
      <c r="AI1" s="5"/>
    </row>
    <row r="2" ht="15.75" customHeigh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7" t="s">
        <v>25</v>
      </c>
      <c r="AA2" s="6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</row>
    <row r="3" ht="15.75" customHeight="1">
      <c r="A3" s="9" t="s">
        <v>35</v>
      </c>
      <c r="B3" s="10">
        <f>'Regular Season'!B3+Postseason!B3</f>
        <v>5</v>
      </c>
      <c r="C3" s="10">
        <f>'Regular Season'!C3+Postseason!C3</f>
        <v>7</v>
      </c>
      <c r="D3" s="10">
        <f>'Regular Season'!D3+Postseason!D3</f>
        <v>5</v>
      </c>
      <c r="E3" s="10">
        <f>'Regular Season'!E3+Postseason!E3</f>
        <v>3</v>
      </c>
      <c r="F3" s="10">
        <f>'Regular Season'!F3+Postseason!F3</f>
        <v>0</v>
      </c>
      <c r="G3" s="10">
        <f>'Regular Season'!G3+Postseason!G3</f>
        <v>0</v>
      </c>
      <c r="H3" s="10">
        <f>'Regular Season'!H3+Postseason!H3</f>
        <v>0</v>
      </c>
      <c r="I3" s="10">
        <f>'Regular Season'!I3+Postseason!I3</f>
        <v>0</v>
      </c>
      <c r="J3" s="10">
        <f>'Regular Season'!J3+Postseason!J3</f>
        <v>0</v>
      </c>
      <c r="K3" s="10">
        <f>'Regular Season'!K3+Postseason!K3</f>
        <v>0</v>
      </c>
      <c r="L3" s="10">
        <f>'Regular Season'!L3+Postseason!L3</f>
        <v>0</v>
      </c>
      <c r="M3" s="10">
        <f>'Regular Season'!M3+Postseason!M3</f>
        <v>1</v>
      </c>
      <c r="N3" s="10">
        <f>'Regular Season'!N3+Postseason!N3</f>
        <v>2</v>
      </c>
      <c r="O3" s="10">
        <f>'Regular Season'!O3+Postseason!O3</f>
        <v>1</v>
      </c>
      <c r="P3" s="10">
        <f>'Regular Season'!P3+Postseason!P3</f>
        <v>0</v>
      </c>
      <c r="Q3" s="10">
        <f>'Regular Season'!Q3+Postseason!Q3</f>
        <v>0</v>
      </c>
      <c r="R3" s="10">
        <f>'Regular Season'!R3+Postseason!R3</f>
        <v>0</v>
      </c>
      <c r="S3" s="11">
        <f t="shared" ref="S3:S21" si="1">if(D3=0,"-", F3/D3)</f>
        <v>0</v>
      </c>
      <c r="T3" s="11">
        <f t="shared" ref="T3:T21" si="2">if(C3=0, "-", (F3+M3+O3)/(D3+M3+O3+P3))</f>
        <v>0.2857142857</v>
      </c>
      <c r="U3" s="12">
        <f t="shared" ref="U3:U21" si="3">iferror(if(C3=0, "-", R3/D3), 0)</f>
        <v>0</v>
      </c>
      <c r="V3" s="12">
        <f t="shared" ref="V3:V21" si="4">if(T3="-", "-", T3+U3)</f>
        <v>0.2857142857</v>
      </c>
      <c r="W3" s="12">
        <f t="shared" ref="W3:W21" si="5">if(C3=0,"-", ((F3+M3)*R3)/(D3+M3))</f>
        <v>0</v>
      </c>
      <c r="X3" s="13">
        <f t="shared" ref="X3:X21" si="6">if(C3=0, "-", M3/C3)</f>
        <v>0.1428571429</v>
      </c>
      <c r="Y3" s="14">
        <f t="shared" ref="Y3:Y21" si="7">if(C3=0, "-", N3/C3)</f>
        <v>0.2857142857</v>
      </c>
      <c r="Z3" s="15">
        <f t="shared" ref="Z3:Z22" si="8">ifs(Y3="-", "-", Y3=0, "0", Y3&lt;&gt;0, M3/N3)</f>
        <v>0.5</v>
      </c>
      <c r="AA3" s="16" t="str">
        <f t="shared" ref="AA3:AA22" si="9">IF(K3=0, "-", D3/K3)</f>
        <v>-</v>
      </c>
      <c r="AB3" s="12">
        <f t="shared" ref="AB3:AB21" si="10">if(C3=0, "-", ((0.69*M3)+(0.72*O3)+(0.88*H3)+(1.24*I3)+(1.57*J3)+(2*K3))/(D3+M3+O3+P3))</f>
        <v>0.2014285714</v>
      </c>
      <c r="AC3" s="17">
        <f>if(C3=0, "-",'Regular Season'!AC3+Postseason!AC3)</f>
        <v>6</v>
      </c>
      <c r="AD3" s="18">
        <f>'Regular Season'!AD3+Postseason!AD3</f>
        <v>0</v>
      </c>
      <c r="AE3" s="19" t="str">
        <f t="shared" ref="AE3:AE22" si="11">if(L3=0, "-", L3/(L3+AD3))</f>
        <v>-</v>
      </c>
      <c r="AF3" s="18">
        <f>'Regular Season'!AF3+Postseason!AF3</f>
        <v>0</v>
      </c>
      <c r="AG3" s="20">
        <f t="shared" ref="AG3:AG22" si="12">iferror((F3-K3)/(D3-K3-N3+P3), "-")</f>
        <v>0</v>
      </c>
      <c r="AH3" s="20">
        <f t="shared" ref="AH3:AH22" si="13">iferror((R3-F3)/D3, "-")</f>
        <v>0</v>
      </c>
      <c r="AI3" s="20" t="str">
        <f t="shared" ref="AI3:AI22" si="14">iferror(2*(K3*L3)/(K3+L3), "-")</f>
        <v>-</v>
      </c>
    </row>
    <row r="4" ht="15.75" customHeight="1">
      <c r="A4" s="21" t="s">
        <v>36</v>
      </c>
      <c r="B4" s="22">
        <f>'Regular Season'!B4+Postseason!B4</f>
        <v>10</v>
      </c>
      <c r="C4" s="22">
        <f>'Regular Season'!C4+Postseason!C4</f>
        <v>18</v>
      </c>
      <c r="D4" s="22">
        <f>'Regular Season'!D4+Postseason!D4</f>
        <v>13</v>
      </c>
      <c r="E4" s="22">
        <f>'Regular Season'!E4+Postseason!E4</f>
        <v>6</v>
      </c>
      <c r="F4" s="22">
        <f>'Regular Season'!F4+Postseason!F4</f>
        <v>2</v>
      </c>
      <c r="G4" s="22">
        <f>'Regular Season'!G4+Postseason!G4</f>
        <v>1</v>
      </c>
      <c r="H4" s="22">
        <f>'Regular Season'!H4+Postseason!H4</f>
        <v>2</v>
      </c>
      <c r="I4" s="22">
        <f>'Regular Season'!I4+Postseason!I4</f>
        <v>0</v>
      </c>
      <c r="J4" s="22">
        <f>'Regular Season'!J4+Postseason!J4</f>
        <v>0</v>
      </c>
      <c r="K4" s="22">
        <f>'Regular Season'!K4+Postseason!K4</f>
        <v>0</v>
      </c>
      <c r="L4" s="22">
        <f>'Regular Season'!L4+Postseason!L4</f>
        <v>4</v>
      </c>
      <c r="M4" s="22">
        <f>'Regular Season'!M4+Postseason!M4</f>
        <v>5</v>
      </c>
      <c r="N4" s="22">
        <f>'Regular Season'!N4+Postseason!N4</f>
        <v>3</v>
      </c>
      <c r="O4" s="22">
        <f>'Regular Season'!O4+Postseason!O4</f>
        <v>0</v>
      </c>
      <c r="P4" s="22">
        <f>'Regular Season'!P4+Postseason!P4</f>
        <v>0</v>
      </c>
      <c r="Q4" s="22">
        <f>'Regular Season'!Q4+Postseason!Q4</f>
        <v>0</v>
      </c>
      <c r="R4" s="22">
        <f>'Regular Season'!R4+Postseason!R4</f>
        <v>2</v>
      </c>
      <c r="S4" s="23">
        <f t="shared" si="1"/>
        <v>0.1538461538</v>
      </c>
      <c r="T4" s="23">
        <f t="shared" si="2"/>
        <v>0.3888888889</v>
      </c>
      <c r="U4" s="24">
        <f t="shared" si="3"/>
        <v>0.1538461538</v>
      </c>
      <c r="V4" s="24">
        <f t="shared" si="4"/>
        <v>0.5427350427</v>
      </c>
      <c r="W4" s="24">
        <f t="shared" si="5"/>
        <v>0.7777777778</v>
      </c>
      <c r="X4" s="25">
        <f t="shared" si="6"/>
        <v>0.2777777778</v>
      </c>
      <c r="Y4" s="26">
        <f t="shared" si="7"/>
        <v>0.1666666667</v>
      </c>
      <c r="Z4" s="27">
        <f t="shared" si="8"/>
        <v>1.666666667</v>
      </c>
      <c r="AA4" s="28" t="str">
        <f t="shared" si="9"/>
        <v>-</v>
      </c>
      <c r="AB4" s="24">
        <f t="shared" si="10"/>
        <v>0.2894444444</v>
      </c>
      <c r="AC4" s="29">
        <f>if(D4=0, "-",'Regular Season'!AC4+Postseason!AC4)</f>
        <v>2</v>
      </c>
      <c r="AD4" s="30">
        <f>'Regular Season'!AD4+Postseason!AD4</f>
        <v>0</v>
      </c>
      <c r="AE4" s="31">
        <f t="shared" si="11"/>
        <v>1</v>
      </c>
      <c r="AF4" s="30">
        <f>'Regular Season'!AF4+Postseason!AF4</f>
        <v>0</v>
      </c>
      <c r="AG4" s="32">
        <f t="shared" si="12"/>
        <v>0.2</v>
      </c>
      <c r="AH4" s="32">
        <f t="shared" si="13"/>
        <v>0</v>
      </c>
      <c r="AI4" s="32">
        <f t="shared" si="14"/>
        <v>0</v>
      </c>
    </row>
    <row r="5" ht="15.75" customHeight="1">
      <c r="A5" s="9" t="s">
        <v>37</v>
      </c>
      <c r="B5" s="10">
        <f>'Regular Season'!B5+Postseason!B5</f>
        <v>6</v>
      </c>
      <c r="C5" s="10">
        <f>'Regular Season'!C5+Postseason!C5</f>
        <v>7</v>
      </c>
      <c r="D5" s="10">
        <f>'Regular Season'!D5+Postseason!D5</f>
        <v>3</v>
      </c>
      <c r="E5" s="10">
        <f>'Regular Season'!E5+Postseason!E5</f>
        <v>1</v>
      </c>
      <c r="F5" s="10">
        <f>'Regular Season'!F5+Postseason!F5</f>
        <v>1</v>
      </c>
      <c r="G5" s="10">
        <f>'Regular Season'!G5+Postseason!G5</f>
        <v>2</v>
      </c>
      <c r="H5" s="10">
        <f>'Regular Season'!H5+Postseason!H5</f>
        <v>1</v>
      </c>
      <c r="I5" s="10">
        <f>'Regular Season'!I5+Postseason!I5</f>
        <v>0</v>
      </c>
      <c r="J5" s="10">
        <f>'Regular Season'!J5+Postseason!J5</f>
        <v>0</v>
      </c>
      <c r="K5" s="10">
        <f>'Regular Season'!K5+Postseason!K5</f>
        <v>0</v>
      </c>
      <c r="L5" s="10">
        <f>'Regular Season'!L5+Postseason!L5</f>
        <v>0</v>
      </c>
      <c r="M5" s="10">
        <f>'Regular Season'!M5+Postseason!M5</f>
        <v>3</v>
      </c>
      <c r="N5" s="10">
        <f>'Regular Season'!N5+Postseason!N5</f>
        <v>1</v>
      </c>
      <c r="O5" s="10">
        <f>'Regular Season'!O5+Postseason!O5</f>
        <v>1</v>
      </c>
      <c r="P5" s="10">
        <f>'Regular Season'!P5+Postseason!P5</f>
        <v>0</v>
      </c>
      <c r="Q5" s="10">
        <f>'Regular Season'!Q5+Postseason!Q5</f>
        <v>0</v>
      </c>
      <c r="R5" s="10">
        <f>'Regular Season'!R5+Postseason!R5</f>
        <v>1</v>
      </c>
      <c r="S5" s="11">
        <f t="shared" si="1"/>
        <v>0.3333333333</v>
      </c>
      <c r="T5" s="11">
        <f t="shared" si="2"/>
        <v>0.7142857143</v>
      </c>
      <c r="U5" s="12">
        <f t="shared" si="3"/>
        <v>0.3333333333</v>
      </c>
      <c r="V5" s="12">
        <f t="shared" si="4"/>
        <v>1.047619048</v>
      </c>
      <c r="W5" s="12">
        <f t="shared" si="5"/>
        <v>0.6666666667</v>
      </c>
      <c r="X5" s="13">
        <f t="shared" si="6"/>
        <v>0.4285714286</v>
      </c>
      <c r="Y5" s="14">
        <f t="shared" si="7"/>
        <v>0.1428571429</v>
      </c>
      <c r="Z5" s="15">
        <f t="shared" si="8"/>
        <v>3</v>
      </c>
      <c r="AA5" s="16" t="str">
        <f t="shared" si="9"/>
        <v>-</v>
      </c>
      <c r="AB5" s="12">
        <f t="shared" si="10"/>
        <v>0.5242857143</v>
      </c>
      <c r="AC5" s="17">
        <f>if(D5=0, "-",'Regular Season'!AC5+Postseason!AC5)</f>
        <v>1</v>
      </c>
      <c r="AD5" s="18">
        <f>'Regular Season'!AD5+Postseason!AD5</f>
        <v>0</v>
      </c>
      <c r="AE5" s="19" t="str">
        <f t="shared" si="11"/>
        <v>-</v>
      </c>
      <c r="AF5" s="18">
        <f>'Regular Season'!AF5+Postseason!AF5</f>
        <v>0</v>
      </c>
      <c r="AG5" s="20">
        <f t="shared" si="12"/>
        <v>0.5</v>
      </c>
      <c r="AH5" s="20">
        <f t="shared" si="13"/>
        <v>0</v>
      </c>
      <c r="AI5" s="20" t="str">
        <f t="shared" si="14"/>
        <v>-</v>
      </c>
    </row>
    <row r="6" ht="15.75" customHeight="1">
      <c r="A6" s="21" t="s">
        <v>38</v>
      </c>
      <c r="B6" s="22">
        <f>'Regular Season'!B6+Postseason!B6</f>
        <v>28</v>
      </c>
      <c r="C6" s="22">
        <f>'Regular Season'!C6+Postseason!C6</f>
        <v>99</v>
      </c>
      <c r="D6" s="22">
        <f>'Regular Season'!D6+Postseason!D6</f>
        <v>77</v>
      </c>
      <c r="E6" s="22">
        <f>'Regular Season'!E6+Postseason!E6</f>
        <v>27</v>
      </c>
      <c r="F6" s="22">
        <f>'Regular Season'!F6+Postseason!F6</f>
        <v>30</v>
      </c>
      <c r="G6" s="22">
        <f>'Regular Season'!G6+Postseason!G6</f>
        <v>25</v>
      </c>
      <c r="H6" s="22">
        <f>'Regular Season'!H6+Postseason!H6</f>
        <v>20</v>
      </c>
      <c r="I6" s="22">
        <f>'Regular Season'!I6+Postseason!I6</f>
        <v>2</v>
      </c>
      <c r="J6" s="22">
        <f>'Regular Season'!J6+Postseason!J6</f>
        <v>7</v>
      </c>
      <c r="K6" s="22">
        <f>'Regular Season'!K6+Postseason!K6</f>
        <v>1</v>
      </c>
      <c r="L6" s="22">
        <f>'Regular Season'!L6+Postseason!L6</f>
        <v>20</v>
      </c>
      <c r="M6" s="22">
        <f>'Regular Season'!M6+Postseason!M6</f>
        <v>19</v>
      </c>
      <c r="N6" s="22">
        <f>'Regular Season'!N6+Postseason!N6</f>
        <v>20</v>
      </c>
      <c r="O6" s="22">
        <f>'Regular Season'!O6+Postseason!O6</f>
        <v>2</v>
      </c>
      <c r="P6" s="22">
        <f>'Regular Season'!P6+Postseason!P6</f>
        <v>1</v>
      </c>
      <c r="Q6" s="22">
        <f>'Regular Season'!Q6+Postseason!Q6</f>
        <v>0</v>
      </c>
      <c r="R6" s="22">
        <f>'Regular Season'!R6+Postseason!R6</f>
        <v>49</v>
      </c>
      <c r="S6" s="23">
        <f t="shared" si="1"/>
        <v>0.3896103896</v>
      </c>
      <c r="T6" s="23">
        <f t="shared" si="2"/>
        <v>0.5151515152</v>
      </c>
      <c r="U6" s="24">
        <f t="shared" si="3"/>
        <v>0.6363636364</v>
      </c>
      <c r="V6" s="24">
        <f t="shared" si="4"/>
        <v>1.151515152</v>
      </c>
      <c r="W6" s="24">
        <f t="shared" si="5"/>
        <v>25.01041667</v>
      </c>
      <c r="X6" s="25">
        <f t="shared" si="6"/>
        <v>0.1919191919</v>
      </c>
      <c r="Y6" s="26">
        <f t="shared" si="7"/>
        <v>0.202020202</v>
      </c>
      <c r="Z6" s="27">
        <f t="shared" si="8"/>
        <v>0.95</v>
      </c>
      <c r="AA6" s="28">
        <f t="shared" si="9"/>
        <v>77</v>
      </c>
      <c r="AB6" s="24">
        <f t="shared" si="10"/>
        <v>0.481010101</v>
      </c>
      <c r="AC6" s="29">
        <f>if(D6=0, "-",'Regular Season'!AC6+Postseason!AC6)</f>
        <v>23</v>
      </c>
      <c r="AD6" s="30">
        <f>'Regular Season'!AD6+Postseason!AD6</f>
        <v>2</v>
      </c>
      <c r="AE6" s="31">
        <f t="shared" si="11"/>
        <v>0.9090909091</v>
      </c>
      <c r="AF6" s="30">
        <f>'Regular Season'!AF6+Postseason!AF6</f>
        <v>3</v>
      </c>
      <c r="AG6" s="32">
        <f t="shared" si="12"/>
        <v>0.5087719298</v>
      </c>
      <c r="AH6" s="32">
        <f t="shared" si="13"/>
        <v>0.2467532468</v>
      </c>
      <c r="AI6" s="32">
        <f t="shared" si="14"/>
        <v>1.904761905</v>
      </c>
    </row>
    <row r="7" ht="15.75" customHeight="1">
      <c r="A7" s="9" t="s">
        <v>39</v>
      </c>
      <c r="B7" s="10">
        <f>'Regular Season'!B7+Postseason!B7</f>
        <v>27</v>
      </c>
      <c r="C7" s="10">
        <f>'Regular Season'!C7+Postseason!C7</f>
        <v>76</v>
      </c>
      <c r="D7" s="10">
        <f>'Regular Season'!D7+Postseason!D7</f>
        <v>60</v>
      </c>
      <c r="E7" s="10">
        <f>'Regular Season'!E7+Postseason!E7</f>
        <v>19</v>
      </c>
      <c r="F7" s="10">
        <f>'Regular Season'!F7+Postseason!F7</f>
        <v>17</v>
      </c>
      <c r="G7" s="10">
        <f>'Regular Season'!G7+Postseason!G7</f>
        <v>17</v>
      </c>
      <c r="H7" s="10">
        <f>'Regular Season'!H7+Postseason!H7</f>
        <v>12</v>
      </c>
      <c r="I7" s="10">
        <f>'Regular Season'!I7+Postseason!I7</f>
        <v>3</v>
      </c>
      <c r="J7" s="10">
        <f>'Regular Season'!J7+Postseason!J7</f>
        <v>2</v>
      </c>
      <c r="K7" s="10">
        <f>'Regular Season'!K7+Postseason!K7</f>
        <v>0</v>
      </c>
      <c r="L7" s="10">
        <f>'Regular Season'!L7+Postseason!L7</f>
        <v>6</v>
      </c>
      <c r="M7" s="10">
        <f>'Regular Season'!M7+Postseason!M7</f>
        <v>12</v>
      </c>
      <c r="N7" s="10">
        <f>'Regular Season'!N7+Postseason!N7</f>
        <v>9</v>
      </c>
      <c r="O7" s="10">
        <f>'Regular Season'!O7+Postseason!O7</f>
        <v>0</v>
      </c>
      <c r="P7" s="10">
        <f>'Regular Season'!P7+Postseason!P7</f>
        <v>2</v>
      </c>
      <c r="Q7" s="10">
        <f>'Regular Season'!Q7+Postseason!Q7</f>
        <v>2</v>
      </c>
      <c r="R7" s="10">
        <f>'Regular Season'!R7+Postseason!R7</f>
        <v>24</v>
      </c>
      <c r="S7" s="11">
        <f t="shared" si="1"/>
        <v>0.2833333333</v>
      </c>
      <c r="T7" s="11">
        <f t="shared" si="2"/>
        <v>0.3918918919</v>
      </c>
      <c r="U7" s="12">
        <f t="shared" si="3"/>
        <v>0.4</v>
      </c>
      <c r="V7" s="12">
        <f t="shared" si="4"/>
        <v>0.7918918919</v>
      </c>
      <c r="W7" s="12">
        <f t="shared" si="5"/>
        <v>9.666666667</v>
      </c>
      <c r="X7" s="13">
        <f t="shared" si="6"/>
        <v>0.1578947368</v>
      </c>
      <c r="Y7" s="14">
        <f t="shared" si="7"/>
        <v>0.1184210526</v>
      </c>
      <c r="Z7" s="15">
        <f t="shared" si="8"/>
        <v>1.333333333</v>
      </c>
      <c r="AA7" s="16" t="str">
        <f t="shared" si="9"/>
        <v>-</v>
      </c>
      <c r="AB7" s="12">
        <f t="shared" si="10"/>
        <v>0.3472972973</v>
      </c>
      <c r="AC7" s="17">
        <f>if(D7=0, "-",'Regular Season'!AC7+Postseason!AC7)</f>
        <v>18</v>
      </c>
      <c r="AD7" s="18">
        <f>'Regular Season'!AD7+Postseason!AD7</f>
        <v>3</v>
      </c>
      <c r="AE7" s="19">
        <f t="shared" si="11"/>
        <v>0.6666666667</v>
      </c>
      <c r="AF7" s="18">
        <f>'Regular Season'!AF7+Postseason!AF7</f>
        <v>4</v>
      </c>
      <c r="AG7" s="20">
        <f t="shared" si="12"/>
        <v>0.320754717</v>
      </c>
      <c r="AH7" s="20">
        <f t="shared" si="13"/>
        <v>0.1166666667</v>
      </c>
      <c r="AI7" s="20">
        <f t="shared" si="14"/>
        <v>0</v>
      </c>
    </row>
    <row r="8" ht="15.75" customHeight="1">
      <c r="A8" s="21" t="s">
        <v>40</v>
      </c>
      <c r="B8" s="22">
        <f>'Regular Season'!B8+Postseason!B8</f>
        <v>28</v>
      </c>
      <c r="C8" s="22">
        <f>'Regular Season'!C8+Postseason!C8</f>
        <v>97</v>
      </c>
      <c r="D8" s="22">
        <f>'Regular Season'!D8+Postseason!D8</f>
        <v>82</v>
      </c>
      <c r="E8" s="22">
        <f>'Regular Season'!E8+Postseason!E8</f>
        <v>27</v>
      </c>
      <c r="F8" s="22">
        <f>'Regular Season'!F8+Postseason!F8</f>
        <v>32</v>
      </c>
      <c r="G8" s="22">
        <f>'Regular Season'!G8+Postseason!G8</f>
        <v>32</v>
      </c>
      <c r="H8" s="22">
        <f>'Regular Season'!H8+Postseason!H8</f>
        <v>17</v>
      </c>
      <c r="I8" s="22">
        <f>'Regular Season'!I8+Postseason!I8</f>
        <v>6</v>
      </c>
      <c r="J8" s="22">
        <f>'Regular Season'!J8+Postseason!J8</f>
        <v>1</v>
      </c>
      <c r="K8" s="22">
        <f>'Regular Season'!K8+Postseason!K8</f>
        <v>8</v>
      </c>
      <c r="L8" s="22">
        <f>'Regular Season'!L8+Postseason!L8</f>
        <v>10</v>
      </c>
      <c r="M8" s="22">
        <f>'Regular Season'!M8+Postseason!M8</f>
        <v>14</v>
      </c>
      <c r="N8" s="22">
        <f>'Regular Season'!N8+Postseason!N8</f>
        <v>22</v>
      </c>
      <c r="O8" s="22">
        <f>'Regular Season'!O8+Postseason!O8</f>
        <v>1</v>
      </c>
      <c r="P8" s="22">
        <f>'Regular Season'!P8+Postseason!P8</f>
        <v>0</v>
      </c>
      <c r="Q8" s="22">
        <f>'Regular Season'!Q8+Postseason!Q8</f>
        <v>0</v>
      </c>
      <c r="R8" s="22">
        <f>'Regular Season'!R8+Postseason!R8</f>
        <v>64</v>
      </c>
      <c r="S8" s="23">
        <f t="shared" si="1"/>
        <v>0.3902439024</v>
      </c>
      <c r="T8" s="23">
        <f t="shared" si="2"/>
        <v>0.4845360825</v>
      </c>
      <c r="U8" s="24">
        <f t="shared" si="3"/>
        <v>0.7804878049</v>
      </c>
      <c r="V8" s="24">
        <f t="shared" si="4"/>
        <v>1.265023887</v>
      </c>
      <c r="W8" s="24">
        <f t="shared" si="5"/>
        <v>30.66666667</v>
      </c>
      <c r="X8" s="25">
        <f t="shared" si="6"/>
        <v>0.1443298969</v>
      </c>
      <c r="Y8" s="26">
        <f t="shared" si="7"/>
        <v>0.2268041237</v>
      </c>
      <c r="Z8" s="27">
        <f t="shared" si="8"/>
        <v>0.6363636364</v>
      </c>
      <c r="AA8" s="28">
        <f t="shared" si="9"/>
        <v>10.25</v>
      </c>
      <c r="AB8" s="24">
        <f t="shared" si="10"/>
        <v>0.5190721649</v>
      </c>
      <c r="AC8" s="29">
        <f>if(D8=0, "-",'Regular Season'!AC8+Postseason!AC8)</f>
        <v>14</v>
      </c>
      <c r="AD8" s="30">
        <f>'Regular Season'!AD8+Postseason!AD8</f>
        <v>4</v>
      </c>
      <c r="AE8" s="31">
        <f t="shared" si="11"/>
        <v>0.7142857143</v>
      </c>
      <c r="AF8" s="30">
        <f>'Regular Season'!AF8+Postseason!AF8</f>
        <v>1</v>
      </c>
      <c r="AG8" s="32">
        <f t="shared" si="12"/>
        <v>0.4615384615</v>
      </c>
      <c r="AH8" s="32">
        <f t="shared" si="13"/>
        <v>0.3902439024</v>
      </c>
      <c r="AI8" s="32">
        <f t="shared" si="14"/>
        <v>8.888888889</v>
      </c>
    </row>
    <row r="9" ht="15.75" customHeight="1">
      <c r="A9" s="9" t="s">
        <v>41</v>
      </c>
      <c r="B9" s="10">
        <f>'Regular Season'!B9+Postseason!B9</f>
        <v>24</v>
      </c>
      <c r="C9" s="10">
        <f>'Regular Season'!C9+Postseason!C9</f>
        <v>77</v>
      </c>
      <c r="D9" s="10">
        <f>'Regular Season'!D9+Postseason!D9</f>
        <v>65</v>
      </c>
      <c r="E9" s="10">
        <f>'Regular Season'!E9+Postseason!E9</f>
        <v>19</v>
      </c>
      <c r="F9" s="10">
        <f>'Regular Season'!F9+Postseason!F9</f>
        <v>21</v>
      </c>
      <c r="G9" s="10">
        <f>'Regular Season'!G9+Postseason!G9</f>
        <v>20</v>
      </c>
      <c r="H9" s="10">
        <f>'Regular Season'!H9+Postseason!H9</f>
        <v>11</v>
      </c>
      <c r="I9" s="10">
        <f>'Regular Season'!I9+Postseason!I9</f>
        <v>3</v>
      </c>
      <c r="J9" s="10">
        <f>'Regular Season'!J9+Postseason!J9</f>
        <v>4</v>
      </c>
      <c r="K9" s="10">
        <f>'Regular Season'!K9+Postseason!K9</f>
        <v>3</v>
      </c>
      <c r="L9" s="10">
        <f>'Regular Season'!L9+Postseason!L9</f>
        <v>13</v>
      </c>
      <c r="M9" s="10">
        <f>'Regular Season'!M9+Postseason!M9</f>
        <v>11</v>
      </c>
      <c r="N9" s="10">
        <f>'Regular Season'!N9+Postseason!N9</f>
        <v>22</v>
      </c>
      <c r="O9" s="10">
        <f>'Regular Season'!O9+Postseason!O9</f>
        <v>1</v>
      </c>
      <c r="P9" s="10">
        <f>'Regular Season'!P9+Postseason!P9</f>
        <v>0</v>
      </c>
      <c r="Q9" s="10">
        <f>'Regular Season'!Q9+Postseason!Q9</f>
        <v>0</v>
      </c>
      <c r="R9" s="10">
        <f>'Regular Season'!R9+Postseason!R9</f>
        <v>41</v>
      </c>
      <c r="S9" s="11">
        <f t="shared" si="1"/>
        <v>0.3230769231</v>
      </c>
      <c r="T9" s="11">
        <f t="shared" si="2"/>
        <v>0.4285714286</v>
      </c>
      <c r="U9" s="12">
        <f t="shared" si="3"/>
        <v>0.6307692308</v>
      </c>
      <c r="V9" s="12">
        <f t="shared" si="4"/>
        <v>1.059340659</v>
      </c>
      <c r="W9" s="12">
        <f t="shared" si="5"/>
        <v>17.26315789</v>
      </c>
      <c r="X9" s="13">
        <f t="shared" si="6"/>
        <v>0.1428571429</v>
      </c>
      <c r="Y9" s="14">
        <f t="shared" si="7"/>
        <v>0.2857142857</v>
      </c>
      <c r="Z9" s="15">
        <f t="shared" si="8"/>
        <v>0.5</v>
      </c>
      <c r="AA9" s="16">
        <f t="shared" si="9"/>
        <v>21.66666667</v>
      </c>
      <c r="AB9" s="12">
        <f t="shared" si="10"/>
        <v>0.4414285714</v>
      </c>
      <c r="AC9" s="17">
        <f>if(D9=0, "-",'Regular Season'!AC9+Postseason!AC9)</f>
        <v>11</v>
      </c>
      <c r="AD9" s="18">
        <f>'Regular Season'!AD9+Postseason!AD9</f>
        <v>1</v>
      </c>
      <c r="AE9" s="19">
        <f t="shared" si="11"/>
        <v>0.9285714286</v>
      </c>
      <c r="AF9" s="18">
        <f>'Regular Season'!AF9+Postseason!AF9</f>
        <v>0</v>
      </c>
      <c r="AG9" s="20">
        <f t="shared" si="12"/>
        <v>0.45</v>
      </c>
      <c r="AH9" s="20">
        <f t="shared" si="13"/>
        <v>0.3076923077</v>
      </c>
      <c r="AI9" s="20">
        <f t="shared" si="14"/>
        <v>4.875</v>
      </c>
    </row>
    <row r="10" ht="15.75" customHeight="1">
      <c r="A10" s="21" t="s">
        <v>42</v>
      </c>
      <c r="B10" s="22">
        <f>'Regular Season'!B10+Postseason!B10</f>
        <v>22</v>
      </c>
      <c r="C10" s="22">
        <f>'Regular Season'!C10+Postseason!C10</f>
        <v>60</v>
      </c>
      <c r="D10" s="22">
        <f>'Regular Season'!D10+Postseason!D10</f>
        <v>42</v>
      </c>
      <c r="E10" s="22">
        <f>'Regular Season'!E10+Postseason!E10</f>
        <v>11</v>
      </c>
      <c r="F10" s="22">
        <f>'Regular Season'!F10+Postseason!F10</f>
        <v>7</v>
      </c>
      <c r="G10" s="22">
        <f>'Regular Season'!G10+Postseason!G10</f>
        <v>6</v>
      </c>
      <c r="H10" s="22">
        <f>'Regular Season'!H10+Postseason!H10</f>
        <v>6</v>
      </c>
      <c r="I10" s="22">
        <f>'Regular Season'!I10+Postseason!I10</f>
        <v>1</v>
      </c>
      <c r="J10" s="22">
        <f>'Regular Season'!J10+Postseason!J10</f>
        <v>0</v>
      </c>
      <c r="K10" s="22">
        <f>'Regular Season'!K10+Postseason!K10</f>
        <v>0</v>
      </c>
      <c r="L10" s="22">
        <f>'Regular Season'!L10+Postseason!L10</f>
        <v>8</v>
      </c>
      <c r="M10" s="22">
        <f>'Regular Season'!M10+Postseason!M10</f>
        <v>12</v>
      </c>
      <c r="N10" s="22">
        <f>'Regular Season'!N10+Postseason!N10</f>
        <v>10</v>
      </c>
      <c r="O10" s="22">
        <f>'Regular Season'!O10+Postseason!O10</f>
        <v>2</v>
      </c>
      <c r="P10" s="22">
        <f>'Regular Season'!P10+Postseason!P10</f>
        <v>1</v>
      </c>
      <c r="Q10" s="22">
        <f>'Regular Season'!Q10+Postseason!Q10</f>
        <v>3</v>
      </c>
      <c r="R10" s="22">
        <f>'Regular Season'!R10+Postseason!R10</f>
        <v>8</v>
      </c>
      <c r="S10" s="23">
        <f t="shared" si="1"/>
        <v>0.1666666667</v>
      </c>
      <c r="T10" s="23">
        <f t="shared" si="2"/>
        <v>0.3684210526</v>
      </c>
      <c r="U10" s="24">
        <f t="shared" si="3"/>
        <v>0.1904761905</v>
      </c>
      <c r="V10" s="24">
        <f t="shared" si="4"/>
        <v>0.5588972431</v>
      </c>
      <c r="W10" s="24">
        <f t="shared" si="5"/>
        <v>2.814814815</v>
      </c>
      <c r="X10" s="25">
        <f t="shared" si="6"/>
        <v>0.2</v>
      </c>
      <c r="Y10" s="26">
        <f t="shared" si="7"/>
        <v>0.1666666667</v>
      </c>
      <c r="Z10" s="27">
        <f t="shared" si="8"/>
        <v>1.2</v>
      </c>
      <c r="AA10" s="28" t="str">
        <f t="shared" si="9"/>
        <v>-</v>
      </c>
      <c r="AB10" s="24">
        <f t="shared" si="10"/>
        <v>0.2849122807</v>
      </c>
      <c r="AC10" s="29">
        <f>if(D10=0, "-",'Regular Season'!AC10+Postseason!AC10)</f>
        <v>8</v>
      </c>
      <c r="AD10" s="30">
        <f>'Regular Season'!AD10+Postseason!AD10</f>
        <v>0</v>
      </c>
      <c r="AE10" s="31">
        <f t="shared" si="11"/>
        <v>1</v>
      </c>
      <c r="AF10" s="30">
        <f>'Regular Season'!AF10+Postseason!AF10</f>
        <v>2</v>
      </c>
      <c r="AG10" s="32">
        <f t="shared" si="12"/>
        <v>0.2121212121</v>
      </c>
      <c r="AH10" s="32">
        <f t="shared" si="13"/>
        <v>0.02380952381</v>
      </c>
      <c r="AI10" s="32">
        <f t="shared" si="14"/>
        <v>0</v>
      </c>
    </row>
    <row r="11" ht="15.75" customHeight="1">
      <c r="A11" s="9" t="s">
        <v>43</v>
      </c>
      <c r="B11" s="10">
        <f>'Regular Season'!B11+Postseason!B11</f>
        <v>10</v>
      </c>
      <c r="C11" s="10">
        <f>'Regular Season'!C11+Postseason!C11</f>
        <v>25</v>
      </c>
      <c r="D11" s="10">
        <f>'Regular Season'!D11+Postseason!D11</f>
        <v>18</v>
      </c>
      <c r="E11" s="10">
        <f>'Regular Season'!E11+Postseason!E11</f>
        <v>6</v>
      </c>
      <c r="F11" s="10">
        <f>'Regular Season'!F11+Postseason!F11</f>
        <v>3</v>
      </c>
      <c r="G11" s="10">
        <f>'Regular Season'!G11+Postseason!G11</f>
        <v>3</v>
      </c>
      <c r="H11" s="10">
        <f>'Regular Season'!H11+Postseason!H11</f>
        <v>2</v>
      </c>
      <c r="I11" s="10">
        <f>'Regular Season'!I11+Postseason!I11</f>
        <v>1</v>
      </c>
      <c r="J11" s="10">
        <f>'Regular Season'!J11+Postseason!J11</f>
        <v>0</v>
      </c>
      <c r="K11" s="10">
        <f>'Regular Season'!K11+Postseason!K11</f>
        <v>0</v>
      </c>
      <c r="L11" s="10">
        <f>'Regular Season'!L11+Postseason!L11</f>
        <v>0</v>
      </c>
      <c r="M11" s="10">
        <f>'Regular Season'!M11+Postseason!M11</f>
        <v>5</v>
      </c>
      <c r="N11" s="10">
        <f>'Regular Season'!N11+Postseason!N11</f>
        <v>4</v>
      </c>
      <c r="O11" s="10">
        <f>'Regular Season'!O11+Postseason!O11</f>
        <v>0</v>
      </c>
      <c r="P11" s="10">
        <f>'Regular Season'!P11+Postseason!P11</f>
        <v>0</v>
      </c>
      <c r="Q11" s="10">
        <f>'Regular Season'!Q11+Postseason!Q11</f>
        <v>2</v>
      </c>
      <c r="R11" s="10">
        <f>'Regular Season'!R11+Postseason!R11</f>
        <v>4</v>
      </c>
      <c r="S11" s="11">
        <f t="shared" si="1"/>
        <v>0.1666666667</v>
      </c>
      <c r="T11" s="11">
        <f t="shared" si="2"/>
        <v>0.347826087</v>
      </c>
      <c r="U11" s="12">
        <f t="shared" si="3"/>
        <v>0.2222222222</v>
      </c>
      <c r="V11" s="12">
        <f t="shared" si="4"/>
        <v>0.5700483092</v>
      </c>
      <c r="W11" s="12">
        <f t="shared" si="5"/>
        <v>1.391304348</v>
      </c>
      <c r="X11" s="13">
        <f t="shared" si="6"/>
        <v>0.2</v>
      </c>
      <c r="Y11" s="14">
        <f t="shared" si="7"/>
        <v>0.16</v>
      </c>
      <c r="Z11" s="15">
        <f t="shared" si="8"/>
        <v>1.25</v>
      </c>
      <c r="AA11" s="16" t="str">
        <f t="shared" si="9"/>
        <v>-</v>
      </c>
      <c r="AB11" s="12">
        <f t="shared" si="10"/>
        <v>0.2804347826</v>
      </c>
      <c r="AC11" s="17">
        <f>if(D11=0, "-",'Regular Season'!AC11+Postseason!AC11)</f>
        <v>2</v>
      </c>
      <c r="AD11" s="18">
        <f>'Regular Season'!AD11+Postseason!AD11</f>
        <v>0</v>
      </c>
      <c r="AE11" s="19" t="str">
        <f t="shared" si="11"/>
        <v>-</v>
      </c>
      <c r="AF11" s="18">
        <f>'Regular Season'!AF11+Postseason!AF11</f>
        <v>1</v>
      </c>
      <c r="AG11" s="20">
        <f t="shared" si="12"/>
        <v>0.2142857143</v>
      </c>
      <c r="AH11" s="20">
        <f t="shared" si="13"/>
        <v>0.05555555556</v>
      </c>
      <c r="AI11" s="20" t="str">
        <f t="shared" si="14"/>
        <v>-</v>
      </c>
    </row>
    <row r="12" ht="15.75" customHeight="1">
      <c r="A12" s="21" t="s">
        <v>44</v>
      </c>
      <c r="B12" s="22">
        <f>'Regular Season'!B12+Postseason!B12</f>
        <v>27</v>
      </c>
      <c r="C12" s="22">
        <f>'Regular Season'!C12+Postseason!C12</f>
        <v>79</v>
      </c>
      <c r="D12" s="22">
        <f>'Regular Season'!D12+Postseason!D12</f>
        <v>66</v>
      </c>
      <c r="E12" s="22">
        <f>'Regular Season'!E12+Postseason!E12</f>
        <v>14</v>
      </c>
      <c r="F12" s="22">
        <f>'Regular Season'!F12+Postseason!F12</f>
        <v>19</v>
      </c>
      <c r="G12" s="22">
        <f>'Regular Season'!G12+Postseason!G12</f>
        <v>19</v>
      </c>
      <c r="H12" s="22">
        <f>'Regular Season'!H12+Postseason!H12</f>
        <v>13</v>
      </c>
      <c r="I12" s="22">
        <f>'Regular Season'!I12+Postseason!I12</f>
        <v>5</v>
      </c>
      <c r="J12" s="22">
        <f>'Regular Season'!J12+Postseason!J12</f>
        <v>1</v>
      </c>
      <c r="K12" s="22">
        <f>'Regular Season'!K12+Postseason!K12</f>
        <v>0</v>
      </c>
      <c r="L12" s="22">
        <f>'Regular Season'!L12+Postseason!L12</f>
        <v>12</v>
      </c>
      <c r="M12" s="22">
        <f>'Regular Season'!M12+Postseason!M12</f>
        <v>9</v>
      </c>
      <c r="N12" s="22">
        <f>'Regular Season'!N12+Postseason!N12</f>
        <v>12</v>
      </c>
      <c r="O12" s="22">
        <f>'Regular Season'!O12+Postseason!O12</f>
        <v>0</v>
      </c>
      <c r="P12" s="22">
        <f>'Regular Season'!P12+Postseason!P12</f>
        <v>2</v>
      </c>
      <c r="Q12" s="22">
        <f>'Regular Season'!Q12+Postseason!Q12</f>
        <v>2</v>
      </c>
      <c r="R12" s="22">
        <f>'Regular Season'!R12+Postseason!R12</f>
        <v>26</v>
      </c>
      <c r="S12" s="23">
        <f t="shared" si="1"/>
        <v>0.2878787879</v>
      </c>
      <c r="T12" s="23">
        <f t="shared" si="2"/>
        <v>0.3636363636</v>
      </c>
      <c r="U12" s="24">
        <f t="shared" si="3"/>
        <v>0.3939393939</v>
      </c>
      <c r="V12" s="24">
        <f t="shared" si="4"/>
        <v>0.7575757576</v>
      </c>
      <c r="W12" s="24">
        <f t="shared" si="5"/>
        <v>9.706666667</v>
      </c>
      <c r="X12" s="25">
        <f t="shared" si="6"/>
        <v>0.1139240506</v>
      </c>
      <c r="Y12" s="26">
        <f t="shared" si="7"/>
        <v>0.1518987342</v>
      </c>
      <c r="Z12" s="27">
        <f t="shared" si="8"/>
        <v>0.75</v>
      </c>
      <c r="AA12" s="28" t="str">
        <f t="shared" si="9"/>
        <v>-</v>
      </c>
      <c r="AB12" s="24">
        <f t="shared" si="10"/>
        <v>0.3301298701</v>
      </c>
      <c r="AC12" s="29">
        <f>if(D12=0, "-",'Regular Season'!AC12+Postseason!AC12)</f>
        <v>16</v>
      </c>
      <c r="AD12" s="30">
        <f>'Regular Season'!AD12+Postseason!AD12</f>
        <v>1</v>
      </c>
      <c r="AE12" s="31">
        <f t="shared" si="11"/>
        <v>0.9230769231</v>
      </c>
      <c r="AF12" s="30">
        <f>'Regular Season'!AF12+Postseason!AF12</f>
        <v>0</v>
      </c>
      <c r="AG12" s="32">
        <f t="shared" si="12"/>
        <v>0.3392857143</v>
      </c>
      <c r="AH12" s="32">
        <f t="shared" si="13"/>
        <v>0.1060606061</v>
      </c>
      <c r="AI12" s="32">
        <f t="shared" si="14"/>
        <v>0</v>
      </c>
    </row>
    <row r="13" ht="15.75" customHeight="1">
      <c r="A13" s="9" t="s">
        <v>45</v>
      </c>
      <c r="B13" s="10">
        <f>'Regular Season'!B13+Postseason!B13</f>
        <v>15</v>
      </c>
      <c r="C13" s="10">
        <f>'Regular Season'!C13+Postseason!C13</f>
        <v>44</v>
      </c>
      <c r="D13" s="10">
        <f>'Regular Season'!D13+Postseason!D13</f>
        <v>30</v>
      </c>
      <c r="E13" s="10">
        <f>'Regular Season'!E13+Postseason!E13</f>
        <v>12</v>
      </c>
      <c r="F13" s="10">
        <f>'Regular Season'!F13+Postseason!F13</f>
        <v>11</v>
      </c>
      <c r="G13" s="10">
        <f>'Regular Season'!G13+Postseason!G13</f>
        <v>7</v>
      </c>
      <c r="H13" s="10">
        <f>'Regular Season'!H13+Postseason!H13</f>
        <v>8</v>
      </c>
      <c r="I13" s="10">
        <f>'Regular Season'!I13+Postseason!I13</f>
        <v>2</v>
      </c>
      <c r="J13" s="10">
        <f>'Regular Season'!J13+Postseason!J13</f>
        <v>1</v>
      </c>
      <c r="K13" s="10">
        <f>'Regular Season'!K13+Postseason!K13</f>
        <v>0</v>
      </c>
      <c r="L13" s="10">
        <f>'Regular Season'!L13+Postseason!L13</f>
        <v>5</v>
      </c>
      <c r="M13" s="10">
        <f>'Regular Season'!M13+Postseason!M13</f>
        <v>9</v>
      </c>
      <c r="N13" s="10">
        <f>'Regular Season'!N13+Postseason!N13</f>
        <v>9</v>
      </c>
      <c r="O13" s="10">
        <f>'Regular Season'!O13+Postseason!O13</f>
        <v>1</v>
      </c>
      <c r="P13" s="10">
        <f>'Regular Season'!P13+Postseason!P13</f>
        <v>0</v>
      </c>
      <c r="Q13" s="10">
        <f>'Regular Season'!Q13+Postseason!Q13</f>
        <v>4</v>
      </c>
      <c r="R13" s="10">
        <f>'Regular Season'!R13+Postseason!R13</f>
        <v>15</v>
      </c>
      <c r="S13" s="11">
        <f t="shared" si="1"/>
        <v>0.3666666667</v>
      </c>
      <c r="T13" s="11">
        <f t="shared" si="2"/>
        <v>0.525</v>
      </c>
      <c r="U13" s="12">
        <f t="shared" si="3"/>
        <v>0.5</v>
      </c>
      <c r="V13" s="12">
        <f t="shared" si="4"/>
        <v>1.025</v>
      </c>
      <c r="W13" s="12">
        <f t="shared" si="5"/>
        <v>7.692307692</v>
      </c>
      <c r="X13" s="13">
        <f t="shared" si="6"/>
        <v>0.2045454545</v>
      </c>
      <c r="Y13" s="14">
        <f t="shared" si="7"/>
        <v>0.2045454545</v>
      </c>
      <c r="Z13" s="15">
        <f t="shared" si="8"/>
        <v>1</v>
      </c>
      <c r="AA13" s="16" t="str">
        <f t="shared" si="9"/>
        <v>-</v>
      </c>
      <c r="AB13" s="12">
        <f t="shared" si="10"/>
        <v>0.4505</v>
      </c>
      <c r="AC13" s="17">
        <f>if(D13=0, "-",'Regular Season'!AC13+Postseason!AC13)</f>
        <v>9</v>
      </c>
      <c r="AD13" s="18">
        <f>'Regular Season'!AD13+Postseason!AD13</f>
        <v>0</v>
      </c>
      <c r="AE13" s="19">
        <f t="shared" si="11"/>
        <v>1</v>
      </c>
      <c r="AF13" s="18">
        <f>'Regular Season'!AF13+Postseason!AF13</f>
        <v>1</v>
      </c>
      <c r="AG13" s="20">
        <f t="shared" si="12"/>
        <v>0.5238095238</v>
      </c>
      <c r="AH13" s="20">
        <f t="shared" si="13"/>
        <v>0.1333333333</v>
      </c>
      <c r="AI13" s="20">
        <f t="shared" si="14"/>
        <v>0</v>
      </c>
    </row>
    <row r="14" ht="15.75" customHeight="1">
      <c r="A14" s="21" t="s">
        <v>46</v>
      </c>
      <c r="B14" s="22">
        <f>'Regular Season'!B14+Postseason!B14</f>
        <v>26</v>
      </c>
      <c r="C14" s="22">
        <f>'Regular Season'!C14+Postseason!C14</f>
        <v>86</v>
      </c>
      <c r="D14" s="22">
        <f>'Regular Season'!D14+Postseason!D14</f>
        <v>66</v>
      </c>
      <c r="E14" s="22">
        <f>'Regular Season'!E14+Postseason!E14</f>
        <v>28</v>
      </c>
      <c r="F14" s="22">
        <f>'Regular Season'!F14+Postseason!F14</f>
        <v>24</v>
      </c>
      <c r="G14" s="22">
        <f>'Regular Season'!G14+Postseason!G14</f>
        <v>24</v>
      </c>
      <c r="H14" s="22">
        <f>'Regular Season'!H14+Postseason!H14</f>
        <v>15</v>
      </c>
      <c r="I14" s="22">
        <f>'Regular Season'!I14+Postseason!I14</f>
        <v>4</v>
      </c>
      <c r="J14" s="22">
        <f>'Regular Season'!J14+Postseason!J14</f>
        <v>1</v>
      </c>
      <c r="K14" s="22">
        <f>'Regular Season'!K14+Postseason!K14</f>
        <v>4</v>
      </c>
      <c r="L14" s="22">
        <f>'Regular Season'!L14+Postseason!L14</f>
        <v>16</v>
      </c>
      <c r="M14" s="22">
        <f>'Regular Season'!M14+Postseason!M14</f>
        <v>14</v>
      </c>
      <c r="N14" s="22">
        <f>'Regular Season'!N14+Postseason!N14</f>
        <v>18</v>
      </c>
      <c r="O14" s="22">
        <f>'Regular Season'!O14+Postseason!O14</f>
        <v>3</v>
      </c>
      <c r="P14" s="22">
        <f>'Regular Season'!P14+Postseason!P14</f>
        <v>3</v>
      </c>
      <c r="Q14" s="22">
        <f>'Regular Season'!Q14+Postseason!Q14</f>
        <v>0</v>
      </c>
      <c r="R14" s="22">
        <f>'Regular Season'!R14+Postseason!R14</f>
        <v>42</v>
      </c>
      <c r="S14" s="23">
        <f t="shared" si="1"/>
        <v>0.3636363636</v>
      </c>
      <c r="T14" s="23">
        <f t="shared" si="2"/>
        <v>0.476744186</v>
      </c>
      <c r="U14" s="24">
        <f t="shared" si="3"/>
        <v>0.6363636364</v>
      </c>
      <c r="V14" s="24">
        <f t="shared" si="4"/>
        <v>1.113107822</v>
      </c>
      <c r="W14" s="24">
        <f t="shared" si="5"/>
        <v>19.95</v>
      </c>
      <c r="X14" s="25">
        <f t="shared" si="6"/>
        <v>0.1627906977</v>
      </c>
      <c r="Y14" s="26">
        <f t="shared" si="7"/>
        <v>0.2093023256</v>
      </c>
      <c r="Z14" s="27">
        <f t="shared" si="8"/>
        <v>0.7777777778</v>
      </c>
      <c r="AA14" s="28">
        <f t="shared" si="9"/>
        <v>16.5</v>
      </c>
      <c r="AB14" s="24">
        <f t="shared" si="10"/>
        <v>0.4598837209</v>
      </c>
      <c r="AC14" s="29">
        <f>if(D14=0, "-",'Regular Season'!AC14+Postseason!AC14)</f>
        <v>20</v>
      </c>
      <c r="AD14" s="30">
        <f>'Regular Season'!AD14+Postseason!AD14</f>
        <v>0</v>
      </c>
      <c r="AE14" s="31">
        <f t="shared" si="11"/>
        <v>1</v>
      </c>
      <c r="AF14" s="30">
        <f>'Regular Season'!AF14+Postseason!AF14</f>
        <v>1</v>
      </c>
      <c r="AG14" s="32">
        <f t="shared" si="12"/>
        <v>0.4255319149</v>
      </c>
      <c r="AH14" s="32">
        <f t="shared" si="13"/>
        <v>0.2727272727</v>
      </c>
      <c r="AI14" s="32">
        <f t="shared" si="14"/>
        <v>6.4</v>
      </c>
    </row>
    <row r="15" ht="15.75" customHeight="1">
      <c r="A15" s="9" t="s">
        <v>47</v>
      </c>
      <c r="B15" s="10">
        <f>'Regular Season'!B15+Postseason!B15</f>
        <v>2</v>
      </c>
      <c r="C15" s="10">
        <f>'Regular Season'!C15+Postseason!C15</f>
        <v>2</v>
      </c>
      <c r="D15" s="10">
        <f>'Regular Season'!D15+Postseason!D15</f>
        <v>1</v>
      </c>
      <c r="E15" s="10">
        <f>'Regular Season'!E15+Postseason!E15</f>
        <v>0</v>
      </c>
      <c r="F15" s="10">
        <f>'Regular Season'!F15+Postseason!F15</f>
        <v>1</v>
      </c>
      <c r="G15" s="10">
        <f>'Regular Season'!G15+Postseason!G15</f>
        <v>1</v>
      </c>
      <c r="H15" s="10">
        <f>'Regular Season'!H15+Postseason!H15</f>
        <v>1</v>
      </c>
      <c r="I15" s="10">
        <f>'Regular Season'!I15+Postseason!I15</f>
        <v>0</v>
      </c>
      <c r="J15" s="10">
        <f>'Regular Season'!J15+Postseason!J15</f>
        <v>0</v>
      </c>
      <c r="K15" s="10">
        <f>'Regular Season'!K15+Postseason!K15</f>
        <v>0</v>
      </c>
      <c r="L15" s="10">
        <f>'Regular Season'!L15+Postseason!L15</f>
        <v>0</v>
      </c>
      <c r="M15" s="10">
        <f>'Regular Season'!M15+Postseason!M15</f>
        <v>1</v>
      </c>
      <c r="N15" s="10">
        <f>'Regular Season'!N15+Postseason!N15</f>
        <v>0</v>
      </c>
      <c r="O15" s="10">
        <f>'Regular Season'!O15+Postseason!O15</f>
        <v>0</v>
      </c>
      <c r="P15" s="10">
        <f>'Regular Season'!P15+Postseason!P15</f>
        <v>0</v>
      </c>
      <c r="Q15" s="10">
        <f>'Regular Season'!Q15+Postseason!Q15</f>
        <v>0</v>
      </c>
      <c r="R15" s="10">
        <f>'Regular Season'!R15+Postseason!R15</f>
        <v>1</v>
      </c>
      <c r="S15" s="11">
        <f t="shared" si="1"/>
        <v>1</v>
      </c>
      <c r="T15" s="11">
        <f t="shared" si="2"/>
        <v>1</v>
      </c>
      <c r="U15" s="12">
        <f t="shared" si="3"/>
        <v>1</v>
      </c>
      <c r="V15" s="12">
        <f t="shared" si="4"/>
        <v>2</v>
      </c>
      <c r="W15" s="12">
        <f t="shared" si="5"/>
        <v>1</v>
      </c>
      <c r="X15" s="13">
        <f t="shared" si="6"/>
        <v>0.5</v>
      </c>
      <c r="Y15" s="14">
        <f t="shared" si="7"/>
        <v>0</v>
      </c>
      <c r="Z15" s="15" t="str">
        <f t="shared" si="8"/>
        <v>0</v>
      </c>
      <c r="AA15" s="16" t="str">
        <f t="shared" si="9"/>
        <v>-</v>
      </c>
      <c r="AB15" s="12">
        <f t="shared" si="10"/>
        <v>0.785</v>
      </c>
      <c r="AC15" s="17">
        <f>if(D15=0, "-",'Regular Season'!AC15+Postseason!AC15)</f>
        <v>0</v>
      </c>
      <c r="AD15" s="18">
        <f>'Regular Season'!AD15+Postseason!AD15</f>
        <v>0</v>
      </c>
      <c r="AE15" s="19" t="str">
        <f t="shared" si="11"/>
        <v>-</v>
      </c>
      <c r="AF15" s="18">
        <f>'Regular Season'!AF15+Postseason!AF15</f>
        <v>0</v>
      </c>
      <c r="AG15" s="20">
        <f t="shared" si="12"/>
        <v>1</v>
      </c>
      <c r="AH15" s="20">
        <f t="shared" si="13"/>
        <v>0</v>
      </c>
      <c r="AI15" s="20" t="str">
        <f t="shared" si="14"/>
        <v>-</v>
      </c>
    </row>
    <row r="16" ht="15.75" customHeight="1">
      <c r="A16" s="21" t="s">
        <v>48</v>
      </c>
      <c r="B16" s="22">
        <f>'Regular Season'!B16+Postseason!B16</f>
        <v>4</v>
      </c>
      <c r="C16" s="22">
        <f>'Regular Season'!C16+Postseason!C16</f>
        <v>7</v>
      </c>
      <c r="D16" s="22">
        <f>'Regular Season'!D16+Postseason!D16</f>
        <v>3</v>
      </c>
      <c r="E16" s="22">
        <f>'Regular Season'!E16+Postseason!E16</f>
        <v>3</v>
      </c>
      <c r="F16" s="22">
        <f>'Regular Season'!F16+Postseason!F16</f>
        <v>1</v>
      </c>
      <c r="G16" s="22">
        <f>'Regular Season'!G16+Postseason!G16</f>
        <v>3</v>
      </c>
      <c r="H16" s="22">
        <f>'Regular Season'!H16+Postseason!H16</f>
        <v>1</v>
      </c>
      <c r="I16" s="22">
        <f>'Regular Season'!I16+Postseason!I16</f>
        <v>0</v>
      </c>
      <c r="J16" s="22">
        <f>'Regular Season'!J16+Postseason!J16</f>
        <v>0</v>
      </c>
      <c r="K16" s="22">
        <f>'Regular Season'!K16+Postseason!K16</f>
        <v>0</v>
      </c>
      <c r="L16" s="22">
        <f>'Regular Season'!L16+Postseason!L16</f>
        <v>0</v>
      </c>
      <c r="M16" s="22">
        <f>'Regular Season'!M16+Postseason!M16</f>
        <v>2</v>
      </c>
      <c r="N16" s="22">
        <f>'Regular Season'!N16+Postseason!N16</f>
        <v>0</v>
      </c>
      <c r="O16" s="22">
        <f>'Regular Season'!O16+Postseason!O16</f>
        <v>2</v>
      </c>
      <c r="P16" s="22">
        <f>'Regular Season'!P16+Postseason!P16</f>
        <v>0</v>
      </c>
      <c r="Q16" s="22">
        <f>'Regular Season'!Q16+Postseason!Q16</f>
        <v>0</v>
      </c>
      <c r="R16" s="22">
        <f>'Regular Season'!R16+Postseason!R16</f>
        <v>1</v>
      </c>
      <c r="S16" s="23">
        <f t="shared" si="1"/>
        <v>0.3333333333</v>
      </c>
      <c r="T16" s="23">
        <f t="shared" si="2"/>
        <v>0.7142857143</v>
      </c>
      <c r="U16" s="24">
        <f t="shared" si="3"/>
        <v>0.3333333333</v>
      </c>
      <c r="V16" s="24">
        <f t="shared" si="4"/>
        <v>1.047619048</v>
      </c>
      <c r="W16" s="24">
        <f t="shared" si="5"/>
        <v>0.6</v>
      </c>
      <c r="X16" s="25">
        <f t="shared" si="6"/>
        <v>0.2857142857</v>
      </c>
      <c r="Y16" s="26">
        <f t="shared" si="7"/>
        <v>0</v>
      </c>
      <c r="Z16" s="27" t="str">
        <f t="shared" si="8"/>
        <v>0</v>
      </c>
      <c r="AA16" s="28" t="str">
        <f t="shared" si="9"/>
        <v>-</v>
      </c>
      <c r="AB16" s="24">
        <f t="shared" si="10"/>
        <v>0.5285714286</v>
      </c>
      <c r="AC16" s="29">
        <f>if(D16=0, "-",'Regular Season'!AC16+Postseason!AC16)</f>
        <v>0</v>
      </c>
      <c r="AD16" s="30">
        <f>'Regular Season'!AD16+Postseason!AD16</f>
        <v>0</v>
      </c>
      <c r="AE16" s="31" t="str">
        <f t="shared" si="11"/>
        <v>-</v>
      </c>
      <c r="AF16" s="30">
        <f>'Regular Season'!AF16+Postseason!AF16</f>
        <v>0</v>
      </c>
      <c r="AG16" s="32">
        <f t="shared" si="12"/>
        <v>0.3333333333</v>
      </c>
      <c r="AH16" s="32">
        <f t="shared" si="13"/>
        <v>0</v>
      </c>
      <c r="AI16" s="32" t="str">
        <f t="shared" si="14"/>
        <v>-</v>
      </c>
    </row>
    <row r="17" ht="15.75" customHeight="1">
      <c r="A17" s="9" t="s">
        <v>49</v>
      </c>
      <c r="B17" s="10">
        <f>'Regular Season'!B17+Postseason!B17</f>
        <v>29</v>
      </c>
      <c r="C17" s="10">
        <f>'Regular Season'!C17+Postseason!C17</f>
        <v>104</v>
      </c>
      <c r="D17" s="10">
        <f>'Regular Season'!D17+Postseason!D17</f>
        <v>87</v>
      </c>
      <c r="E17" s="10">
        <f>'Regular Season'!E17+Postseason!E17</f>
        <v>36</v>
      </c>
      <c r="F17" s="10">
        <f>'Regular Season'!F17+Postseason!F17</f>
        <v>35</v>
      </c>
      <c r="G17" s="10">
        <f>'Regular Season'!G17+Postseason!G17</f>
        <v>12</v>
      </c>
      <c r="H17" s="10">
        <f>'Regular Season'!H17+Postseason!H17</f>
        <v>29</v>
      </c>
      <c r="I17" s="10">
        <f>'Regular Season'!I17+Postseason!I17</f>
        <v>5</v>
      </c>
      <c r="J17" s="10">
        <f>'Regular Season'!J17+Postseason!J17</f>
        <v>1</v>
      </c>
      <c r="K17" s="10">
        <f>'Regular Season'!K17+Postseason!K17</f>
        <v>0</v>
      </c>
      <c r="L17" s="10">
        <f>'Regular Season'!L17+Postseason!L17</f>
        <v>18</v>
      </c>
      <c r="M17" s="10">
        <f>'Regular Season'!M17+Postseason!M17</f>
        <v>13</v>
      </c>
      <c r="N17" s="10">
        <f>'Regular Season'!N17+Postseason!N17</f>
        <v>23</v>
      </c>
      <c r="O17" s="10">
        <f>'Regular Season'!O17+Postseason!O17</f>
        <v>2</v>
      </c>
      <c r="P17" s="10">
        <f>'Regular Season'!P17+Postseason!P17</f>
        <v>1</v>
      </c>
      <c r="Q17" s="10">
        <f>'Regular Season'!Q17+Postseason!Q17</f>
        <v>1</v>
      </c>
      <c r="R17" s="10">
        <f>'Regular Season'!R17+Postseason!R17</f>
        <v>42</v>
      </c>
      <c r="S17" s="11">
        <f t="shared" si="1"/>
        <v>0.4022988506</v>
      </c>
      <c r="T17" s="11">
        <f t="shared" si="2"/>
        <v>0.4854368932</v>
      </c>
      <c r="U17" s="12">
        <f t="shared" si="3"/>
        <v>0.4827586207</v>
      </c>
      <c r="V17" s="12">
        <f t="shared" si="4"/>
        <v>0.9681955139</v>
      </c>
      <c r="W17" s="12">
        <f t="shared" si="5"/>
        <v>20.16</v>
      </c>
      <c r="X17" s="13">
        <f t="shared" si="6"/>
        <v>0.125</v>
      </c>
      <c r="Y17" s="14">
        <f t="shared" si="7"/>
        <v>0.2211538462</v>
      </c>
      <c r="Z17" s="15">
        <f t="shared" si="8"/>
        <v>0.5652173913</v>
      </c>
      <c r="AA17" s="16" t="str">
        <f t="shared" si="9"/>
        <v>-</v>
      </c>
      <c r="AB17" s="12">
        <f t="shared" si="10"/>
        <v>0.4242718447</v>
      </c>
      <c r="AC17" s="17">
        <f>if(D17=0, "-",'Regular Season'!AC17+Postseason!AC17)</f>
        <v>18</v>
      </c>
      <c r="AD17" s="18">
        <f>'Regular Season'!AD17+Postseason!AD17</f>
        <v>0</v>
      </c>
      <c r="AE17" s="19">
        <f t="shared" si="11"/>
        <v>1</v>
      </c>
      <c r="AF17" s="18">
        <f>'Regular Season'!AF17+Postseason!AF17</f>
        <v>1</v>
      </c>
      <c r="AG17" s="20">
        <f t="shared" si="12"/>
        <v>0.5384615385</v>
      </c>
      <c r="AH17" s="20">
        <f t="shared" si="13"/>
        <v>0.08045977011</v>
      </c>
      <c r="AI17" s="20">
        <f t="shared" si="14"/>
        <v>0</v>
      </c>
    </row>
    <row r="18" ht="15.75" customHeight="1">
      <c r="A18" s="21" t="s">
        <v>50</v>
      </c>
      <c r="B18" s="22">
        <f>'Regular Season'!B18+Postseason!B18</f>
        <v>29</v>
      </c>
      <c r="C18" s="22">
        <f>'Regular Season'!C18+Postseason!C18</f>
        <v>106</v>
      </c>
      <c r="D18" s="22">
        <f>'Regular Season'!D18+Postseason!D18</f>
        <v>84</v>
      </c>
      <c r="E18" s="22">
        <f>'Regular Season'!E18+Postseason!E18</f>
        <v>28</v>
      </c>
      <c r="F18" s="22">
        <f>'Regular Season'!F18+Postseason!F18</f>
        <v>37</v>
      </c>
      <c r="G18" s="22">
        <f>'Regular Season'!G18+Postseason!G18</f>
        <v>38</v>
      </c>
      <c r="H18" s="22">
        <f>'Regular Season'!H18+Postseason!H18</f>
        <v>25</v>
      </c>
      <c r="I18" s="22">
        <f>'Regular Season'!I18+Postseason!I18</f>
        <v>7</v>
      </c>
      <c r="J18" s="22">
        <f>'Regular Season'!J18+Postseason!J18</f>
        <v>1</v>
      </c>
      <c r="K18" s="22">
        <f>'Regular Season'!K18+Postseason!K18</f>
        <v>4</v>
      </c>
      <c r="L18" s="22">
        <f>'Regular Season'!L18+Postseason!L18</f>
        <v>12</v>
      </c>
      <c r="M18" s="22">
        <f>'Regular Season'!M18+Postseason!M18</f>
        <v>18</v>
      </c>
      <c r="N18" s="22">
        <f>'Regular Season'!N18+Postseason!N18</f>
        <v>8</v>
      </c>
      <c r="O18" s="22">
        <f>'Regular Season'!O18+Postseason!O18</f>
        <v>2</v>
      </c>
      <c r="P18" s="22">
        <f>'Regular Season'!P18+Postseason!P18</f>
        <v>2</v>
      </c>
      <c r="Q18" s="22">
        <f>'Regular Season'!Q18+Postseason!Q18</f>
        <v>0</v>
      </c>
      <c r="R18" s="22">
        <f>'Regular Season'!R18+Postseason!R18</f>
        <v>58</v>
      </c>
      <c r="S18" s="23">
        <f t="shared" si="1"/>
        <v>0.4404761905</v>
      </c>
      <c r="T18" s="23">
        <f t="shared" si="2"/>
        <v>0.5377358491</v>
      </c>
      <c r="U18" s="24">
        <f t="shared" si="3"/>
        <v>0.6904761905</v>
      </c>
      <c r="V18" s="24">
        <f t="shared" si="4"/>
        <v>1.22821204</v>
      </c>
      <c r="W18" s="24">
        <f t="shared" si="5"/>
        <v>31.2745098</v>
      </c>
      <c r="X18" s="25">
        <f t="shared" si="6"/>
        <v>0.1698113208</v>
      </c>
      <c r="Y18" s="26">
        <f t="shared" si="7"/>
        <v>0.07547169811</v>
      </c>
      <c r="Z18" s="27">
        <f t="shared" si="8"/>
        <v>2.25</v>
      </c>
      <c r="AA18" s="28">
        <f t="shared" si="9"/>
        <v>21</v>
      </c>
      <c r="AB18" s="24">
        <f t="shared" si="10"/>
        <v>0.5104716981</v>
      </c>
      <c r="AC18" s="29">
        <f>if(D18=0, "-",'Regular Season'!AC18+Postseason!AC18)</f>
        <v>7</v>
      </c>
      <c r="AD18" s="30">
        <f>'Regular Season'!AD18+Postseason!AD18</f>
        <v>3</v>
      </c>
      <c r="AE18" s="31">
        <f t="shared" si="11"/>
        <v>0.8</v>
      </c>
      <c r="AF18" s="30">
        <f>'Regular Season'!AF18+Postseason!AF18</f>
        <v>3</v>
      </c>
      <c r="AG18" s="32">
        <f t="shared" si="12"/>
        <v>0.4459459459</v>
      </c>
      <c r="AH18" s="32">
        <f t="shared" si="13"/>
        <v>0.25</v>
      </c>
      <c r="AI18" s="32">
        <f t="shared" si="14"/>
        <v>6</v>
      </c>
    </row>
    <row r="19" ht="15.75" customHeight="1">
      <c r="A19" s="9" t="s">
        <v>51</v>
      </c>
      <c r="B19" s="10">
        <f>'Regular Season'!B19+Postseason!B19</f>
        <v>5</v>
      </c>
      <c r="C19" s="10">
        <f>'Regular Season'!C19+Postseason!C19</f>
        <v>13</v>
      </c>
      <c r="D19" s="10">
        <f>'Regular Season'!D19+Postseason!D19</f>
        <v>10</v>
      </c>
      <c r="E19" s="10">
        <f>'Regular Season'!E19+Postseason!E19</f>
        <v>3</v>
      </c>
      <c r="F19" s="10">
        <f>'Regular Season'!F19+Postseason!F19</f>
        <v>3</v>
      </c>
      <c r="G19" s="10">
        <f>'Regular Season'!G19+Postseason!G19</f>
        <v>5</v>
      </c>
      <c r="H19" s="10">
        <f>'Regular Season'!H19+Postseason!H19</f>
        <v>1</v>
      </c>
      <c r="I19" s="10">
        <f>'Regular Season'!I19+Postseason!I19</f>
        <v>2</v>
      </c>
      <c r="J19" s="10">
        <f>'Regular Season'!J19+Postseason!J19</f>
        <v>0</v>
      </c>
      <c r="K19" s="10">
        <f>'Regular Season'!K19+Postseason!K19</f>
        <v>0</v>
      </c>
      <c r="L19" s="10">
        <f>'Regular Season'!L19+Postseason!L19</f>
        <v>0</v>
      </c>
      <c r="M19" s="10">
        <f>'Regular Season'!M19+Postseason!M19</f>
        <v>1</v>
      </c>
      <c r="N19" s="10">
        <f>'Regular Season'!N19+Postseason!N19</f>
        <v>4</v>
      </c>
      <c r="O19" s="10">
        <f>'Regular Season'!O19+Postseason!O19</f>
        <v>0</v>
      </c>
      <c r="P19" s="10">
        <f>'Regular Season'!P19+Postseason!P19</f>
        <v>2</v>
      </c>
      <c r="Q19" s="10">
        <f>'Regular Season'!Q19+Postseason!Q19</f>
        <v>0</v>
      </c>
      <c r="R19" s="10">
        <f>'Regular Season'!R19+Postseason!R19</f>
        <v>5</v>
      </c>
      <c r="S19" s="11">
        <f t="shared" si="1"/>
        <v>0.3</v>
      </c>
      <c r="T19" s="11">
        <f t="shared" si="2"/>
        <v>0.3076923077</v>
      </c>
      <c r="U19" s="12">
        <f t="shared" si="3"/>
        <v>0.5</v>
      </c>
      <c r="V19" s="12">
        <f t="shared" si="4"/>
        <v>0.8076923077</v>
      </c>
      <c r="W19" s="12">
        <f t="shared" si="5"/>
        <v>1.818181818</v>
      </c>
      <c r="X19" s="13">
        <f t="shared" si="6"/>
        <v>0.07692307692</v>
      </c>
      <c r="Y19" s="14">
        <f t="shared" si="7"/>
        <v>0.3076923077</v>
      </c>
      <c r="Z19" s="15">
        <f t="shared" si="8"/>
        <v>0.25</v>
      </c>
      <c r="AA19" s="16" t="str">
        <f t="shared" si="9"/>
        <v>-</v>
      </c>
      <c r="AB19" s="12">
        <f t="shared" si="10"/>
        <v>0.3115384615</v>
      </c>
      <c r="AC19" s="17">
        <f>if(D19=0, "-",'Regular Season'!AC19+Postseason!AC19)</f>
        <v>5</v>
      </c>
      <c r="AD19" s="18">
        <f>'Regular Season'!AD19+Postseason!AD19</f>
        <v>0</v>
      </c>
      <c r="AE19" s="19" t="str">
        <f t="shared" si="11"/>
        <v>-</v>
      </c>
      <c r="AF19" s="18">
        <f>'Regular Season'!AF19+Postseason!AF19</f>
        <v>0</v>
      </c>
      <c r="AG19" s="20">
        <f t="shared" si="12"/>
        <v>0.375</v>
      </c>
      <c r="AH19" s="20">
        <f t="shared" si="13"/>
        <v>0.2</v>
      </c>
      <c r="AI19" s="20" t="str">
        <f t="shared" si="14"/>
        <v>-</v>
      </c>
    </row>
    <row r="20" ht="15.75" customHeight="1">
      <c r="A20" s="21" t="s">
        <v>52</v>
      </c>
      <c r="B20" s="22">
        <f>'Regular Season'!B20+Postseason!B20</f>
        <v>7</v>
      </c>
      <c r="C20" s="22">
        <f>'Regular Season'!C20+Postseason!C20</f>
        <v>10</v>
      </c>
      <c r="D20" s="22">
        <f>'Regular Season'!D20+Postseason!D20</f>
        <v>8</v>
      </c>
      <c r="E20" s="22">
        <f>'Regular Season'!E20+Postseason!E20</f>
        <v>7</v>
      </c>
      <c r="F20" s="22">
        <f>'Regular Season'!F20+Postseason!F20</f>
        <v>4</v>
      </c>
      <c r="G20" s="22">
        <f>'Regular Season'!G20+Postseason!G20</f>
        <v>4</v>
      </c>
      <c r="H20" s="22">
        <f>'Regular Season'!H20+Postseason!H20</f>
        <v>3</v>
      </c>
      <c r="I20" s="22">
        <f>'Regular Season'!I20+Postseason!I20</f>
        <v>0</v>
      </c>
      <c r="J20" s="22">
        <f>'Regular Season'!J20+Postseason!J20</f>
        <v>1</v>
      </c>
      <c r="K20" s="22">
        <f>'Regular Season'!K20+Postseason!K20</f>
        <v>0</v>
      </c>
      <c r="L20" s="22">
        <f>'Regular Season'!L20+Postseason!L20</f>
        <v>1</v>
      </c>
      <c r="M20" s="22">
        <f>'Regular Season'!M20+Postseason!M20</f>
        <v>1</v>
      </c>
      <c r="N20" s="22">
        <f>'Regular Season'!N20+Postseason!N20</f>
        <v>0</v>
      </c>
      <c r="O20" s="22">
        <f>'Regular Season'!O20+Postseason!O20</f>
        <v>1</v>
      </c>
      <c r="P20" s="22">
        <f>'Regular Season'!P20+Postseason!P20</f>
        <v>0</v>
      </c>
      <c r="Q20" s="22">
        <f>'Regular Season'!Q20+Postseason!Q20</f>
        <v>0</v>
      </c>
      <c r="R20" s="22">
        <f>'Regular Season'!R20+Postseason!R20</f>
        <v>6</v>
      </c>
      <c r="S20" s="23">
        <f t="shared" si="1"/>
        <v>0.5</v>
      </c>
      <c r="T20" s="23">
        <f t="shared" si="2"/>
        <v>0.6</v>
      </c>
      <c r="U20" s="24">
        <f t="shared" si="3"/>
        <v>0.75</v>
      </c>
      <c r="V20" s="24">
        <f t="shared" si="4"/>
        <v>1.35</v>
      </c>
      <c r="W20" s="24">
        <f t="shared" si="5"/>
        <v>3.333333333</v>
      </c>
      <c r="X20" s="25">
        <f t="shared" si="6"/>
        <v>0.1</v>
      </c>
      <c r="Y20" s="26">
        <f t="shared" si="7"/>
        <v>0</v>
      </c>
      <c r="Z20" s="27" t="str">
        <f t="shared" si="8"/>
        <v>0</v>
      </c>
      <c r="AA20" s="28" t="str">
        <f t="shared" si="9"/>
        <v>-</v>
      </c>
      <c r="AB20" s="24">
        <f t="shared" si="10"/>
        <v>0.562</v>
      </c>
      <c r="AC20" s="29">
        <f>if(D20=0, "-",'Regular Season'!AC20+Postseason!AC20)</f>
        <v>0</v>
      </c>
      <c r="AD20" s="30">
        <f>'Regular Season'!AD20+Postseason!AD20</f>
        <v>0</v>
      </c>
      <c r="AE20" s="31">
        <f t="shared" si="11"/>
        <v>1</v>
      </c>
      <c r="AF20" s="30">
        <f>'Regular Season'!AF20+Postseason!AF20</f>
        <v>0</v>
      </c>
      <c r="AG20" s="32">
        <f t="shared" si="12"/>
        <v>0.5</v>
      </c>
      <c r="AH20" s="32">
        <f t="shared" si="13"/>
        <v>0.25</v>
      </c>
      <c r="AI20" s="32">
        <f t="shared" si="14"/>
        <v>0</v>
      </c>
    </row>
    <row r="21" ht="15.75" customHeight="1">
      <c r="A21" s="9" t="s">
        <v>53</v>
      </c>
      <c r="B21" s="10">
        <f>'Regular Season'!B21+Postseason!B21</f>
        <v>17</v>
      </c>
      <c r="C21" s="10">
        <f>'Regular Season'!C21+Postseason!C21</f>
        <v>40</v>
      </c>
      <c r="D21" s="10">
        <f>'Regular Season'!D21+Postseason!D21</f>
        <v>31</v>
      </c>
      <c r="E21" s="10">
        <f>'Regular Season'!E21+Postseason!E21</f>
        <v>15</v>
      </c>
      <c r="F21" s="10">
        <f>'Regular Season'!F21+Postseason!F21</f>
        <v>15</v>
      </c>
      <c r="G21" s="10">
        <f>'Regular Season'!G21+Postseason!G21</f>
        <v>12</v>
      </c>
      <c r="H21" s="10">
        <f>'Regular Season'!H21+Postseason!H21</f>
        <v>13</v>
      </c>
      <c r="I21" s="10">
        <f>'Regular Season'!I21+Postseason!I21</f>
        <v>0</v>
      </c>
      <c r="J21" s="10">
        <f>'Regular Season'!J21+Postseason!J21</f>
        <v>1</v>
      </c>
      <c r="K21" s="10">
        <f>'Regular Season'!K21+Postseason!K21</f>
        <v>1</v>
      </c>
      <c r="L21" s="10">
        <f>'Regular Season'!L21+Postseason!L21</f>
        <v>4</v>
      </c>
      <c r="M21" s="10">
        <f>'Regular Season'!M21+Postseason!M21</f>
        <v>5</v>
      </c>
      <c r="N21" s="10">
        <f>'Regular Season'!N21+Postseason!N21</f>
        <v>3</v>
      </c>
      <c r="O21" s="10">
        <f>'Regular Season'!O21+Postseason!O21</f>
        <v>0</v>
      </c>
      <c r="P21" s="10">
        <f>'Regular Season'!P21+Postseason!P21</f>
        <v>2</v>
      </c>
      <c r="Q21" s="10">
        <f>'Regular Season'!Q21+Postseason!Q21</f>
        <v>2</v>
      </c>
      <c r="R21" s="10">
        <f>'Regular Season'!R21+Postseason!R21</f>
        <v>20</v>
      </c>
      <c r="S21" s="11">
        <f t="shared" si="1"/>
        <v>0.4838709677</v>
      </c>
      <c r="T21" s="11">
        <f t="shared" si="2"/>
        <v>0.5263157895</v>
      </c>
      <c r="U21" s="12">
        <f t="shared" si="3"/>
        <v>0.6451612903</v>
      </c>
      <c r="V21" s="12">
        <f t="shared" si="4"/>
        <v>1.17147708</v>
      </c>
      <c r="W21" s="12">
        <f t="shared" si="5"/>
        <v>11.11111111</v>
      </c>
      <c r="X21" s="13">
        <f t="shared" si="6"/>
        <v>0.125</v>
      </c>
      <c r="Y21" s="14">
        <f t="shared" si="7"/>
        <v>0.075</v>
      </c>
      <c r="Z21" s="15">
        <f t="shared" si="8"/>
        <v>1.666666667</v>
      </c>
      <c r="AA21" s="16">
        <f t="shared" si="9"/>
        <v>31</v>
      </c>
      <c r="AB21" s="12">
        <f t="shared" si="10"/>
        <v>0.4857894737</v>
      </c>
      <c r="AC21" s="17">
        <f>if(D21=0, "-",'Regular Season'!AC21+Postseason!AC21)</f>
        <v>3</v>
      </c>
      <c r="AD21" s="18">
        <f>'Regular Season'!AD21+Postseason!AD21</f>
        <v>2</v>
      </c>
      <c r="AE21" s="19">
        <f t="shared" si="11"/>
        <v>0.6666666667</v>
      </c>
      <c r="AF21" s="18">
        <f>'Regular Season'!AF21+Postseason!AF21</f>
        <v>2</v>
      </c>
      <c r="AG21" s="20">
        <f t="shared" si="12"/>
        <v>0.4827586207</v>
      </c>
      <c r="AH21" s="20">
        <f t="shared" si="13"/>
        <v>0.1612903226</v>
      </c>
      <c r="AI21" s="20">
        <f t="shared" si="14"/>
        <v>1.6</v>
      </c>
    </row>
    <row r="22" ht="15.75" customHeight="1">
      <c r="A22" s="4" t="s">
        <v>54</v>
      </c>
      <c r="B22" s="4"/>
      <c r="C22" s="4">
        <f t="shared" ref="C22:G22" si="15">sum(C3:C21)</f>
        <v>957</v>
      </c>
      <c r="D22" s="4">
        <f t="shared" si="15"/>
        <v>751</v>
      </c>
      <c r="E22" s="4">
        <f t="shared" si="15"/>
        <v>265</v>
      </c>
      <c r="F22" s="4">
        <f t="shared" si="15"/>
        <v>263</v>
      </c>
      <c r="G22" s="4">
        <f t="shared" si="15"/>
        <v>231</v>
      </c>
      <c r="H22" s="4">
        <f>F22-(I22+J22+K22)</f>
        <v>180</v>
      </c>
      <c r="I22" s="4">
        <f t="shared" ref="I22:Q22" si="16">sum(I3:I21)</f>
        <v>41</v>
      </c>
      <c r="J22" s="4">
        <f t="shared" si="16"/>
        <v>21</v>
      </c>
      <c r="K22" s="4">
        <f t="shared" si="16"/>
        <v>21</v>
      </c>
      <c r="L22" s="4">
        <f t="shared" si="16"/>
        <v>129</v>
      </c>
      <c r="M22" s="4">
        <f t="shared" si="16"/>
        <v>155</v>
      </c>
      <c r="N22" s="4">
        <f t="shared" si="16"/>
        <v>170</v>
      </c>
      <c r="O22" s="4">
        <f t="shared" si="16"/>
        <v>19</v>
      </c>
      <c r="P22" s="4">
        <f t="shared" si="16"/>
        <v>16</v>
      </c>
      <c r="Q22" s="4">
        <f t="shared" si="16"/>
        <v>16</v>
      </c>
      <c r="R22" s="4">
        <f>(H22+(2*I22)+(3*J22)+(4*K22))</f>
        <v>409</v>
      </c>
      <c r="S22" s="33">
        <f>iferror(F22/D22, 0)</f>
        <v>0.3501997337</v>
      </c>
      <c r="T22" s="33">
        <f>iferror((F22+M22+O22)/(D22+M22+O22+P22), 0)</f>
        <v>0.4643995749</v>
      </c>
      <c r="U22" s="33">
        <f>iferror(R22/D22, 0)</f>
        <v>0.5446071904</v>
      </c>
      <c r="V22" s="33">
        <f>T22+U22</f>
        <v>1.009006765</v>
      </c>
      <c r="W22" s="33">
        <f>iferror(((F22+M22)*R22)/(D22+M22), 0)</f>
        <v>188.6997792</v>
      </c>
      <c r="X22" s="34">
        <f>iferror(M22/C22, 0)</f>
        <v>0.1619644723</v>
      </c>
      <c r="Y22" s="34">
        <f>iferror(N22/C22, 0)</f>
        <v>0.1776384535</v>
      </c>
      <c r="Z22" s="35">
        <f t="shared" si="8"/>
        <v>0.9117647059</v>
      </c>
      <c r="AA22" s="4">
        <f t="shared" si="9"/>
        <v>35.76190476</v>
      </c>
      <c r="AB22" s="33">
        <f>if(D22=0, "-", ((0.69*M22)+(0.72*O22)+(0.88*H22)+(1.24*I22)+(1.57*J22)+(2*K22))/(D22+M22+O22+P22))</f>
        <v>0.4302231668</v>
      </c>
      <c r="AC22" s="36">
        <f>'Regular Season'!AC22+Postseason!AC22</f>
        <v>163</v>
      </c>
      <c r="AD22" s="36">
        <f>sum(AD3:AD21)</f>
        <v>16</v>
      </c>
      <c r="AE22" s="37">
        <f t="shared" si="11"/>
        <v>0.8896551724</v>
      </c>
      <c r="AF22" s="36">
        <f>sum(AF3:AF21)</f>
        <v>19</v>
      </c>
      <c r="AG22" s="38">
        <f t="shared" si="12"/>
        <v>0.4201388889</v>
      </c>
      <c r="AH22" s="38">
        <f t="shared" si="13"/>
        <v>0.1944074567</v>
      </c>
      <c r="AI22" s="38">
        <f t="shared" si="14"/>
        <v>36.12</v>
      </c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40"/>
      <c r="AA23" s="39"/>
      <c r="AB23" s="41"/>
      <c r="AC23" s="41"/>
      <c r="AD23" s="41"/>
      <c r="AE23" s="41"/>
      <c r="AF23" s="41"/>
      <c r="AG23" s="41"/>
      <c r="AH23" s="41"/>
      <c r="AI23" s="41"/>
    </row>
    <row r="24" ht="15.75" customHeight="1">
      <c r="A24" s="1" t="s">
        <v>55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  <c r="AA24" s="4"/>
      <c r="AB24" s="4"/>
      <c r="AC24" s="5"/>
      <c r="AD24" s="5"/>
      <c r="AE24" s="5"/>
      <c r="AF24" s="5"/>
      <c r="AG24" s="5"/>
      <c r="AH24" s="5"/>
      <c r="AI24" s="5"/>
    </row>
    <row r="25" ht="15.75" customHeight="1">
      <c r="A25" s="6" t="s">
        <v>0</v>
      </c>
      <c r="B25" s="6" t="s">
        <v>1</v>
      </c>
      <c r="C25" s="6" t="s">
        <v>56</v>
      </c>
      <c r="D25" s="6" t="s">
        <v>57</v>
      </c>
      <c r="E25" s="6" t="s">
        <v>58</v>
      </c>
      <c r="F25" s="6" t="s">
        <v>59</v>
      </c>
      <c r="G25" s="6" t="s">
        <v>60</v>
      </c>
      <c r="H25" s="6" t="s">
        <v>61</v>
      </c>
      <c r="I25" s="6" t="s">
        <v>62</v>
      </c>
      <c r="J25" s="6" t="s">
        <v>63</v>
      </c>
      <c r="K25" s="6" t="s">
        <v>64</v>
      </c>
      <c r="L25" s="6" t="s">
        <v>12</v>
      </c>
      <c r="M25" s="6" t="s">
        <v>13</v>
      </c>
      <c r="N25" s="6" t="s">
        <v>10</v>
      </c>
      <c r="O25" s="6" t="s">
        <v>65</v>
      </c>
      <c r="P25" s="6" t="s">
        <v>66</v>
      </c>
      <c r="Q25" s="6" t="s">
        <v>67</v>
      </c>
      <c r="R25" s="6" t="s">
        <v>68</v>
      </c>
      <c r="S25" s="6" t="s">
        <v>69</v>
      </c>
      <c r="T25" s="6" t="s">
        <v>70</v>
      </c>
      <c r="U25" s="6" t="s">
        <v>71</v>
      </c>
      <c r="V25" s="6" t="s">
        <v>72</v>
      </c>
      <c r="W25" s="6" t="s">
        <v>73</v>
      </c>
      <c r="X25" s="42" t="s">
        <v>74</v>
      </c>
      <c r="Y25" s="6" t="s">
        <v>75</v>
      </c>
      <c r="Z25" s="43" t="s">
        <v>25</v>
      </c>
      <c r="AA25" s="8" t="s">
        <v>31</v>
      </c>
      <c r="AB25" s="44"/>
      <c r="AC25" s="44"/>
      <c r="AD25" s="44"/>
      <c r="AE25" s="44"/>
      <c r="AF25" s="44"/>
      <c r="AG25" s="44"/>
      <c r="AH25" s="44"/>
      <c r="AI25" s="44"/>
    </row>
    <row r="26" ht="15.75" customHeight="1">
      <c r="A26" s="45" t="s">
        <v>76</v>
      </c>
      <c r="B26" s="46">
        <f>'Regular Season'!B26+Postseason!B26</f>
        <v>4</v>
      </c>
      <c r="C26" s="47">
        <f t="shared" ref="C26:C38" si="17">IF((O26+P26)=0, "-", O26/(O26+P26))</f>
        <v>1</v>
      </c>
      <c r="D26" s="46">
        <f>'Regular Season'!D26+Postseason!D26</f>
        <v>1</v>
      </c>
      <c r="E26" s="46">
        <f>'Regular Season'!E26+Postseason!E26</f>
        <v>0</v>
      </c>
      <c r="F26" s="46">
        <f>'Regular Season'!F26+Postseason!F26</f>
        <v>7</v>
      </c>
      <c r="G26" s="48">
        <f>'Regular Season'!G26+Postseason!G26</f>
        <v>0.6666666667</v>
      </c>
      <c r="H26" s="46">
        <f>'Regular Season'!H26+Postseason!H26</f>
        <v>7.2</v>
      </c>
      <c r="I26" s="46">
        <f>'Regular Season'!I26+Postseason!I26</f>
        <v>4</v>
      </c>
      <c r="J26" s="46">
        <f>'Regular Season'!J26+Postseason!J26</f>
        <v>4</v>
      </c>
      <c r="K26" s="46">
        <f>'Regular Season'!K26+Postseason!K26</f>
        <v>4</v>
      </c>
      <c r="L26" s="46">
        <f>'Regular Season'!L26+Postseason!L26</f>
        <v>6</v>
      </c>
      <c r="M26" s="46">
        <f>'Regular Season'!M26+Postseason!M26</f>
        <v>5</v>
      </c>
      <c r="N26" s="46">
        <f>'Regular Season'!N26+Postseason!N26</f>
        <v>0</v>
      </c>
      <c r="O26" s="46">
        <f>'Regular Season'!O26+Postseason!O26</f>
        <v>1</v>
      </c>
      <c r="P26" s="46">
        <f>'Regular Season'!P26+Postseason!P26</f>
        <v>0</v>
      </c>
      <c r="Q26" s="46">
        <f>'Regular Season'!Q26+Postseason!Q26</f>
        <v>0</v>
      </c>
      <c r="R26" s="46">
        <f>'Regular Season'!R26+Postseason!R26</f>
        <v>0</v>
      </c>
      <c r="S26" s="49">
        <f t="shared" ref="S26:S38" si="18">if(F26=0, "-", (L26+I26)/(F26+G26))</f>
        <v>1.304347826</v>
      </c>
      <c r="T26" s="49">
        <f t="shared" ref="T26:T38" si="19">if(F26=0, "-", (K26/(F26+G26))*7)</f>
        <v>3.652173913</v>
      </c>
      <c r="U26" s="50">
        <f t="shared" ref="U26:U38" si="20">if(F26=0, "-", 7*(I26/(F26+G26)))</f>
        <v>3.652173913</v>
      </c>
      <c r="V26" s="49">
        <f t="shared" ref="V26:V38" si="21">if(F26=0, "-", 7*(L26/(F26+G26)))</f>
        <v>5.47826087</v>
      </c>
      <c r="W26" s="49">
        <f t="shared" ref="W26:W38" si="22">if(F26=0, "-", 7*(M26/(F26+G26)))</f>
        <v>4.565217391</v>
      </c>
      <c r="X26" s="51">
        <f t="shared" ref="X26:X38" si="23">if(F26=0, "-", 9*(M26/(F26+G26)))</f>
        <v>5.869565217</v>
      </c>
      <c r="Y26" s="49">
        <f t="shared" ref="Y26:Y38" si="24">if(F26=0, "-", 7*(N26/(F26+G26)))</f>
        <v>0</v>
      </c>
      <c r="Z26" s="52">
        <f t="shared" ref="Z26:Z38" si="25">if(M26=0,"-", L26/M26)</f>
        <v>1.2</v>
      </c>
      <c r="AA26" s="53">
        <f>'Regular Season'!AA26+Postseason!AA26</f>
        <v>0</v>
      </c>
      <c r="AB26" s="54"/>
      <c r="AC26" s="54"/>
      <c r="AD26" s="54"/>
      <c r="AE26" s="54"/>
      <c r="AF26" s="54"/>
      <c r="AG26" s="54"/>
      <c r="AH26" s="54"/>
      <c r="AI26" s="54"/>
    </row>
    <row r="27" ht="15.75" customHeight="1">
      <c r="A27" s="45" t="s">
        <v>38</v>
      </c>
      <c r="B27" s="55">
        <f>'Regular Season'!B27+Postseason!B27</f>
        <v>0</v>
      </c>
      <c r="C27" s="56" t="str">
        <f t="shared" si="17"/>
        <v>-</v>
      </c>
      <c r="D27" s="55">
        <f>'Regular Season'!D27+Postseason!D27</f>
        <v>0</v>
      </c>
      <c r="E27" s="55">
        <f>'Regular Season'!E27+Postseason!E27</f>
        <v>0</v>
      </c>
      <c r="F27" s="55">
        <f>'Regular Season'!F27+Postseason!F27</f>
        <v>0</v>
      </c>
      <c r="G27" s="57">
        <f>'Regular Season'!G27+Postseason!G27</f>
        <v>0</v>
      </c>
      <c r="H27" s="55">
        <f>'Regular Season'!H27+Postseason!H27</f>
        <v>0</v>
      </c>
      <c r="I27" s="55">
        <f>'Regular Season'!I27+Postseason!I27</f>
        <v>0</v>
      </c>
      <c r="J27" s="55">
        <f>'Regular Season'!J27+Postseason!J27</f>
        <v>0</v>
      </c>
      <c r="K27" s="55">
        <f>'Regular Season'!K27+Postseason!K27</f>
        <v>0</v>
      </c>
      <c r="L27" s="55">
        <f>'Regular Season'!L27+Postseason!L27</f>
        <v>0</v>
      </c>
      <c r="M27" s="55">
        <f>'Regular Season'!M27+Postseason!M27</f>
        <v>0</v>
      </c>
      <c r="N27" s="55">
        <f>'Regular Season'!N27+Postseason!N27</f>
        <v>0</v>
      </c>
      <c r="O27" s="55">
        <f>'Regular Season'!O27+Postseason!O27</f>
        <v>0</v>
      </c>
      <c r="P27" s="55">
        <f>'Regular Season'!P27+Postseason!P27</f>
        <v>0</v>
      </c>
      <c r="Q27" s="55">
        <f>'Regular Season'!Q27+Postseason!Q27</f>
        <v>0</v>
      </c>
      <c r="R27" s="55">
        <f>'Regular Season'!R27+Postseason!R27</f>
        <v>0</v>
      </c>
      <c r="S27" s="58" t="str">
        <f t="shared" si="18"/>
        <v>-</v>
      </c>
      <c r="T27" s="58" t="str">
        <f t="shared" si="19"/>
        <v>-</v>
      </c>
      <c r="U27" s="59" t="str">
        <f t="shared" si="20"/>
        <v>-</v>
      </c>
      <c r="V27" s="58" t="str">
        <f t="shared" si="21"/>
        <v>-</v>
      </c>
      <c r="W27" s="58" t="str">
        <f t="shared" si="22"/>
        <v>-</v>
      </c>
      <c r="X27" s="60" t="str">
        <f t="shared" si="23"/>
        <v>-</v>
      </c>
      <c r="Y27" s="58" t="str">
        <f t="shared" si="24"/>
        <v>-</v>
      </c>
      <c r="Z27" s="61" t="str">
        <f t="shared" si="25"/>
        <v>-</v>
      </c>
      <c r="AA27" s="53">
        <f>'Regular Season'!AA27+Postseason!AA27</f>
        <v>0</v>
      </c>
      <c r="AB27" s="62"/>
      <c r="AC27" s="62"/>
      <c r="AD27" s="62"/>
      <c r="AE27" s="62"/>
      <c r="AF27" s="62"/>
      <c r="AG27" s="62"/>
      <c r="AH27" s="62"/>
      <c r="AI27" s="62"/>
    </row>
    <row r="28" ht="15.75" customHeight="1">
      <c r="A28" s="45" t="s">
        <v>77</v>
      </c>
      <c r="B28" s="46">
        <f>'Regular Season'!B28+Postseason!B28</f>
        <v>10</v>
      </c>
      <c r="C28" s="47">
        <f t="shared" si="17"/>
        <v>1</v>
      </c>
      <c r="D28" s="46">
        <f>'Regular Season'!D28+Postseason!D28</f>
        <v>9</v>
      </c>
      <c r="E28" s="46">
        <f>'Regular Season'!E28+Postseason!E28</f>
        <v>2</v>
      </c>
      <c r="F28" s="46">
        <f>'Regular Season'!F28+Postseason!F28</f>
        <v>53</v>
      </c>
      <c r="G28" s="48">
        <f>'Regular Season'!G28+Postseason!G28</f>
        <v>0</v>
      </c>
      <c r="H28" s="46">
        <f>'Regular Season'!H28+Postseason!H28</f>
        <v>53</v>
      </c>
      <c r="I28" s="46">
        <f>'Regular Season'!I28+Postseason!I28</f>
        <v>40</v>
      </c>
      <c r="J28" s="46">
        <f>'Regular Season'!J28+Postseason!J28</f>
        <v>22</v>
      </c>
      <c r="K28" s="46">
        <f>'Regular Season'!K28+Postseason!K28</f>
        <v>17</v>
      </c>
      <c r="L28" s="46">
        <f>'Regular Season'!L28+Postseason!L28</f>
        <v>23</v>
      </c>
      <c r="M28" s="46">
        <f>'Regular Season'!M28+Postseason!M28</f>
        <v>43</v>
      </c>
      <c r="N28" s="46">
        <f>'Regular Season'!N28+Postseason!N28</f>
        <v>1</v>
      </c>
      <c r="O28" s="46">
        <f>'Regular Season'!O28+Postseason!O28</f>
        <v>8</v>
      </c>
      <c r="P28" s="46">
        <f>'Regular Season'!P28+Postseason!P28</f>
        <v>0</v>
      </c>
      <c r="Q28" s="46">
        <f>'Regular Season'!Q28+Postseason!Q28</f>
        <v>0</v>
      </c>
      <c r="R28" s="46">
        <f>'Regular Season'!R28+Postseason!R28</f>
        <v>2</v>
      </c>
      <c r="S28" s="49">
        <f t="shared" si="18"/>
        <v>1.188679245</v>
      </c>
      <c r="T28" s="49">
        <f t="shared" si="19"/>
        <v>2.245283019</v>
      </c>
      <c r="U28" s="50">
        <f t="shared" si="20"/>
        <v>5.283018868</v>
      </c>
      <c r="V28" s="49">
        <f t="shared" si="21"/>
        <v>3.037735849</v>
      </c>
      <c r="W28" s="49">
        <f t="shared" si="22"/>
        <v>5.679245283</v>
      </c>
      <c r="X28" s="51">
        <f t="shared" si="23"/>
        <v>7.301886792</v>
      </c>
      <c r="Y28" s="49">
        <f t="shared" si="24"/>
        <v>0.1320754717</v>
      </c>
      <c r="Z28" s="63">
        <f t="shared" si="25"/>
        <v>0.5348837209</v>
      </c>
      <c r="AA28" s="53">
        <f>'Regular Season'!AA28+Postseason!AA28</f>
        <v>1</v>
      </c>
      <c r="AB28" s="64"/>
      <c r="AC28" s="64"/>
      <c r="AD28" s="64"/>
      <c r="AE28" s="64"/>
      <c r="AF28" s="64"/>
      <c r="AG28" s="65"/>
      <c r="AH28" s="65"/>
      <c r="AI28" s="65"/>
    </row>
    <row r="29" ht="15.75" customHeight="1">
      <c r="A29" s="45" t="s">
        <v>78</v>
      </c>
      <c r="B29" s="55">
        <f>'Regular Season'!B29+Postseason!B29</f>
        <v>5</v>
      </c>
      <c r="C29" s="56">
        <f t="shared" si="17"/>
        <v>1</v>
      </c>
      <c r="D29" s="55">
        <f>'Regular Season'!D29+Postseason!D29</f>
        <v>0</v>
      </c>
      <c r="E29" s="55">
        <f>'Regular Season'!E29+Postseason!E29</f>
        <v>0</v>
      </c>
      <c r="F29" s="55">
        <f>'Regular Season'!F29+Postseason!F29</f>
        <v>9</v>
      </c>
      <c r="G29" s="57">
        <f>'Regular Season'!G29+Postseason!G29</f>
        <v>0.3333333333</v>
      </c>
      <c r="H29" s="55">
        <f>'Regular Season'!H29+Postseason!H29</f>
        <v>9.1</v>
      </c>
      <c r="I29" s="55">
        <f>'Regular Season'!I29+Postseason!I29</f>
        <v>7</v>
      </c>
      <c r="J29" s="55">
        <f>'Regular Season'!J29+Postseason!J29</f>
        <v>4</v>
      </c>
      <c r="K29" s="55">
        <f>'Regular Season'!K29+Postseason!K29</f>
        <v>2</v>
      </c>
      <c r="L29" s="55">
        <f>'Regular Season'!L29+Postseason!L29</f>
        <v>9</v>
      </c>
      <c r="M29" s="55">
        <f>'Regular Season'!M29+Postseason!M29</f>
        <v>4</v>
      </c>
      <c r="N29" s="55">
        <f>'Regular Season'!N29+Postseason!N29</f>
        <v>0</v>
      </c>
      <c r="O29" s="55">
        <f>'Regular Season'!O29+Postseason!O29</f>
        <v>2</v>
      </c>
      <c r="P29" s="55">
        <f>'Regular Season'!P29+Postseason!P29</f>
        <v>0</v>
      </c>
      <c r="Q29" s="55">
        <f>'Regular Season'!Q29+Postseason!Q29</f>
        <v>1</v>
      </c>
      <c r="R29" s="55">
        <f>'Regular Season'!R29+Postseason!R29</f>
        <v>0</v>
      </c>
      <c r="S29" s="58">
        <f t="shared" si="18"/>
        <v>1.714285714</v>
      </c>
      <c r="T29" s="58">
        <f t="shared" si="19"/>
        <v>1.5</v>
      </c>
      <c r="U29" s="59">
        <f t="shared" si="20"/>
        <v>5.25</v>
      </c>
      <c r="V29" s="58">
        <f t="shared" si="21"/>
        <v>6.75</v>
      </c>
      <c r="W29" s="58">
        <f t="shared" si="22"/>
        <v>3</v>
      </c>
      <c r="X29" s="60">
        <f t="shared" si="23"/>
        <v>3.857142857</v>
      </c>
      <c r="Y29" s="58">
        <f t="shared" si="24"/>
        <v>0</v>
      </c>
      <c r="Z29" s="61">
        <f t="shared" si="25"/>
        <v>2.25</v>
      </c>
      <c r="AA29" s="53">
        <f>'Regular Season'!AA29+Postseason!AA29</f>
        <v>0</v>
      </c>
      <c r="AB29" s="66"/>
      <c r="AC29" s="66"/>
      <c r="AD29" s="66"/>
      <c r="AE29" s="66"/>
      <c r="AF29" s="66"/>
      <c r="AG29" s="66"/>
      <c r="AH29" s="66"/>
      <c r="AI29" s="66"/>
    </row>
    <row r="30" ht="15.75" customHeight="1">
      <c r="A30" s="45" t="s">
        <v>79</v>
      </c>
      <c r="B30" s="46">
        <f>'Regular Season'!B30+Postseason!B30</f>
        <v>6</v>
      </c>
      <c r="C30" s="47">
        <f t="shared" si="17"/>
        <v>1</v>
      </c>
      <c r="D30" s="46">
        <f>'Regular Season'!D30+Postseason!D30</f>
        <v>0</v>
      </c>
      <c r="E30" s="46">
        <f>'Regular Season'!E30+Postseason!E30</f>
        <v>0</v>
      </c>
      <c r="F30" s="46">
        <f>'Regular Season'!F30+Postseason!F30</f>
        <v>9</v>
      </c>
      <c r="G30" s="48">
        <f>'Regular Season'!G30+Postseason!G30</f>
        <v>0.6666666667</v>
      </c>
      <c r="H30" s="46">
        <f>'Regular Season'!H30+Postseason!H30</f>
        <v>9.2</v>
      </c>
      <c r="I30" s="46">
        <f>'Regular Season'!I30+Postseason!I30</f>
        <v>7</v>
      </c>
      <c r="J30" s="46">
        <f>'Regular Season'!J30+Postseason!J30</f>
        <v>7</v>
      </c>
      <c r="K30" s="46">
        <f>'Regular Season'!K30+Postseason!K30</f>
        <v>6</v>
      </c>
      <c r="L30" s="46">
        <f>'Regular Season'!L30+Postseason!L30</f>
        <v>10</v>
      </c>
      <c r="M30" s="46">
        <f>'Regular Season'!M30+Postseason!M30</f>
        <v>10</v>
      </c>
      <c r="N30" s="46">
        <f>'Regular Season'!N30+Postseason!N30</f>
        <v>2</v>
      </c>
      <c r="O30" s="46">
        <f>'Regular Season'!O30+Postseason!O30</f>
        <v>1</v>
      </c>
      <c r="P30" s="46">
        <f>'Regular Season'!P30+Postseason!P30</f>
        <v>0</v>
      </c>
      <c r="Q30" s="46">
        <f>'Regular Season'!Q30+Postseason!Q30</f>
        <v>1</v>
      </c>
      <c r="R30" s="46">
        <f>'Regular Season'!R30+Postseason!R30</f>
        <v>0</v>
      </c>
      <c r="S30" s="49">
        <f t="shared" si="18"/>
        <v>1.75862069</v>
      </c>
      <c r="T30" s="49">
        <f t="shared" si="19"/>
        <v>4.344827586</v>
      </c>
      <c r="U30" s="50">
        <f t="shared" si="20"/>
        <v>5.068965517</v>
      </c>
      <c r="V30" s="49">
        <f t="shared" si="21"/>
        <v>7.24137931</v>
      </c>
      <c r="W30" s="49">
        <f t="shared" si="22"/>
        <v>7.24137931</v>
      </c>
      <c r="X30" s="51">
        <f t="shared" si="23"/>
        <v>9.310344828</v>
      </c>
      <c r="Y30" s="49">
        <f t="shared" si="24"/>
        <v>1.448275862</v>
      </c>
      <c r="Z30" s="63">
        <f t="shared" si="25"/>
        <v>1</v>
      </c>
      <c r="AA30" s="53">
        <f>'Regular Season'!AA30+Postseason!AA30</f>
        <v>0</v>
      </c>
      <c r="AB30" s="64"/>
      <c r="AC30" s="64"/>
      <c r="AD30" s="64"/>
      <c r="AE30" s="64"/>
      <c r="AF30" s="64"/>
      <c r="AG30" s="65"/>
      <c r="AH30" s="65"/>
      <c r="AI30" s="65"/>
    </row>
    <row r="31" ht="15.75" customHeight="1">
      <c r="A31" s="45" t="s">
        <v>80</v>
      </c>
      <c r="B31" s="55">
        <f>'Regular Season'!B31+Postseason!B31</f>
        <v>7</v>
      </c>
      <c r="C31" s="56">
        <f t="shared" si="17"/>
        <v>1</v>
      </c>
      <c r="D31" s="55">
        <f>'Regular Season'!D31+Postseason!D31</f>
        <v>0</v>
      </c>
      <c r="E31" s="55">
        <f>'Regular Season'!E31+Postseason!E31</f>
        <v>0</v>
      </c>
      <c r="F31" s="55">
        <f>'Regular Season'!F31+Postseason!F31</f>
        <v>7</v>
      </c>
      <c r="G31" s="57">
        <f>'Regular Season'!G31+Postseason!G31</f>
        <v>0.6666666667</v>
      </c>
      <c r="H31" s="55">
        <f>'Regular Season'!H31+Postseason!H31</f>
        <v>7.2</v>
      </c>
      <c r="I31" s="55">
        <f>'Regular Season'!I31+Postseason!I31</f>
        <v>8</v>
      </c>
      <c r="J31" s="55">
        <f>'Regular Season'!J31+Postseason!J31</f>
        <v>8</v>
      </c>
      <c r="K31" s="55">
        <f>'Regular Season'!K31+Postseason!K31</f>
        <v>8</v>
      </c>
      <c r="L31" s="55">
        <f>'Regular Season'!L31+Postseason!L31</f>
        <v>5</v>
      </c>
      <c r="M31" s="55">
        <f>'Regular Season'!M31+Postseason!M31</f>
        <v>7</v>
      </c>
      <c r="N31" s="55">
        <f>'Regular Season'!N31+Postseason!N31</f>
        <v>0</v>
      </c>
      <c r="O31" s="55">
        <f>'Regular Season'!O31+Postseason!O31</f>
        <v>2</v>
      </c>
      <c r="P31" s="55">
        <f>'Regular Season'!P31+Postseason!P31</f>
        <v>0</v>
      </c>
      <c r="Q31" s="55">
        <f>'Regular Season'!Q31+Postseason!Q31</f>
        <v>2</v>
      </c>
      <c r="R31" s="55">
        <f>'Regular Season'!R31+Postseason!R31</f>
        <v>0</v>
      </c>
      <c r="S31" s="58">
        <f t="shared" si="18"/>
        <v>1.695652174</v>
      </c>
      <c r="T31" s="58">
        <f t="shared" si="19"/>
        <v>7.304347826</v>
      </c>
      <c r="U31" s="59">
        <f t="shared" si="20"/>
        <v>7.304347826</v>
      </c>
      <c r="V31" s="58">
        <f t="shared" si="21"/>
        <v>4.565217391</v>
      </c>
      <c r="W31" s="58">
        <f t="shared" si="22"/>
        <v>6.391304348</v>
      </c>
      <c r="X31" s="60">
        <f t="shared" si="23"/>
        <v>8.217391304</v>
      </c>
      <c r="Y31" s="58">
        <f t="shared" si="24"/>
        <v>0</v>
      </c>
      <c r="Z31" s="61">
        <f t="shared" si="25"/>
        <v>0.7142857143</v>
      </c>
      <c r="AA31" s="53">
        <f>'Regular Season'!AA31+Postseason!AA31</f>
        <v>0</v>
      </c>
      <c r="AB31" s="66"/>
      <c r="AC31" s="66"/>
      <c r="AD31" s="66"/>
      <c r="AE31" s="66"/>
      <c r="AF31" s="66"/>
      <c r="AG31" s="66"/>
      <c r="AH31" s="66"/>
      <c r="AI31" s="66"/>
    </row>
    <row r="32" ht="15.75" customHeight="1">
      <c r="A32" s="45" t="s">
        <v>81</v>
      </c>
      <c r="B32" s="46">
        <f>'Regular Season'!B32+Postseason!B32</f>
        <v>5</v>
      </c>
      <c r="C32" s="47">
        <f t="shared" si="17"/>
        <v>0</v>
      </c>
      <c r="D32" s="46">
        <f>'Regular Season'!D32+Postseason!D32</f>
        <v>0</v>
      </c>
      <c r="E32" s="46">
        <f>'Regular Season'!E32+Postseason!E32</f>
        <v>0</v>
      </c>
      <c r="F32" s="46">
        <f>'Regular Season'!F32+Postseason!F32</f>
        <v>4</v>
      </c>
      <c r="G32" s="48">
        <f>'Regular Season'!G32+Postseason!G32</f>
        <v>0.3333333333</v>
      </c>
      <c r="H32" s="46">
        <f>'Regular Season'!H32+Postseason!H32</f>
        <v>4.1</v>
      </c>
      <c r="I32" s="46">
        <f>'Regular Season'!I32+Postseason!I32</f>
        <v>4</v>
      </c>
      <c r="J32" s="46">
        <f>'Regular Season'!J32+Postseason!J32</f>
        <v>11</v>
      </c>
      <c r="K32" s="46">
        <f>'Regular Season'!K32+Postseason!K32</f>
        <v>8</v>
      </c>
      <c r="L32" s="46">
        <f>'Regular Season'!L32+Postseason!L32</f>
        <v>10</v>
      </c>
      <c r="M32" s="46">
        <f>'Regular Season'!M32+Postseason!M32</f>
        <v>4</v>
      </c>
      <c r="N32" s="46">
        <f>'Regular Season'!N32+Postseason!N32</f>
        <v>0</v>
      </c>
      <c r="O32" s="46">
        <f>'Regular Season'!O32+Postseason!O32</f>
        <v>0</v>
      </c>
      <c r="P32" s="46">
        <f>'Regular Season'!P32+Postseason!P32</f>
        <v>2</v>
      </c>
      <c r="Q32" s="46">
        <f>'Regular Season'!Q32+Postseason!Q32</f>
        <v>0</v>
      </c>
      <c r="R32" s="46">
        <f>'Regular Season'!R32+Postseason!R32</f>
        <v>0</v>
      </c>
      <c r="S32" s="49">
        <f t="shared" si="18"/>
        <v>3.230769231</v>
      </c>
      <c r="T32" s="49">
        <f t="shared" si="19"/>
        <v>12.92307692</v>
      </c>
      <c r="U32" s="50">
        <f t="shared" si="20"/>
        <v>6.461538462</v>
      </c>
      <c r="V32" s="49">
        <f t="shared" si="21"/>
        <v>16.15384615</v>
      </c>
      <c r="W32" s="49">
        <f t="shared" si="22"/>
        <v>6.461538462</v>
      </c>
      <c r="X32" s="51">
        <f t="shared" si="23"/>
        <v>8.307692308</v>
      </c>
      <c r="Y32" s="49">
        <f t="shared" si="24"/>
        <v>0</v>
      </c>
      <c r="Z32" s="63">
        <f t="shared" si="25"/>
        <v>2.5</v>
      </c>
      <c r="AA32" s="53">
        <f>'Regular Season'!AA32+Postseason!AA32</f>
        <v>0</v>
      </c>
      <c r="AB32" s="54"/>
      <c r="AC32" s="54"/>
      <c r="AD32" s="54"/>
      <c r="AE32" s="54"/>
      <c r="AF32" s="54"/>
      <c r="AG32" s="54"/>
      <c r="AH32" s="54"/>
      <c r="AI32" s="54"/>
    </row>
    <row r="33" ht="15.75" customHeight="1">
      <c r="A33" s="45" t="s">
        <v>48</v>
      </c>
      <c r="B33" s="55">
        <f>'Regular Season'!B33+Postseason!B33</f>
        <v>3</v>
      </c>
      <c r="C33" s="56" t="str">
        <f t="shared" si="17"/>
        <v>-</v>
      </c>
      <c r="D33" s="55">
        <f>'Regular Season'!D33+Postseason!D33</f>
        <v>1</v>
      </c>
      <c r="E33" s="55">
        <f>'Regular Season'!E33+Postseason!E33</f>
        <v>0</v>
      </c>
      <c r="F33" s="55">
        <f>'Regular Season'!F33+Postseason!F33</f>
        <v>4</v>
      </c>
      <c r="G33" s="57">
        <f>'Regular Season'!G33+Postseason!G33</f>
        <v>0.3333333333</v>
      </c>
      <c r="H33" s="55">
        <f>'Regular Season'!H33+Postseason!H33</f>
        <v>4.1</v>
      </c>
      <c r="I33" s="55">
        <f>'Regular Season'!I33+Postseason!I33</f>
        <v>8</v>
      </c>
      <c r="J33" s="55">
        <f>'Regular Season'!J33+Postseason!J33</f>
        <v>7</v>
      </c>
      <c r="K33" s="55">
        <f>'Regular Season'!K33+Postseason!K33</f>
        <v>7</v>
      </c>
      <c r="L33" s="55">
        <f>'Regular Season'!L33+Postseason!L33</f>
        <v>5</v>
      </c>
      <c r="M33" s="55">
        <f>'Regular Season'!M33+Postseason!M33</f>
        <v>4</v>
      </c>
      <c r="N33" s="55">
        <f>'Regular Season'!N33+Postseason!N33</f>
        <v>0</v>
      </c>
      <c r="O33" s="55">
        <f>'Regular Season'!O33+Postseason!O33</f>
        <v>0</v>
      </c>
      <c r="P33" s="55">
        <f>'Regular Season'!P33+Postseason!P33</f>
        <v>0</v>
      </c>
      <c r="Q33" s="55">
        <f>'Regular Season'!Q33+Postseason!Q33</f>
        <v>0</v>
      </c>
      <c r="R33" s="55">
        <f>'Regular Season'!R33+Postseason!R33</f>
        <v>0</v>
      </c>
      <c r="S33" s="58">
        <f t="shared" si="18"/>
        <v>3</v>
      </c>
      <c r="T33" s="58">
        <f t="shared" si="19"/>
        <v>11.30769231</v>
      </c>
      <c r="U33" s="59">
        <f t="shared" si="20"/>
        <v>12.92307692</v>
      </c>
      <c r="V33" s="58">
        <f t="shared" si="21"/>
        <v>8.076923077</v>
      </c>
      <c r="W33" s="58">
        <f t="shared" si="22"/>
        <v>6.461538462</v>
      </c>
      <c r="X33" s="60">
        <f t="shared" si="23"/>
        <v>8.307692308</v>
      </c>
      <c r="Y33" s="58">
        <f t="shared" si="24"/>
        <v>0</v>
      </c>
      <c r="Z33" s="61">
        <f t="shared" si="25"/>
        <v>1.25</v>
      </c>
      <c r="AA33" s="53">
        <f>'Regular Season'!AA33+Postseason!AA33</f>
        <v>0</v>
      </c>
      <c r="AB33" s="62"/>
      <c r="AC33" s="62"/>
      <c r="AD33" s="62"/>
      <c r="AE33" s="62"/>
      <c r="AF33" s="62"/>
      <c r="AG33" s="62"/>
      <c r="AH33" s="62"/>
      <c r="AI33" s="62"/>
    </row>
    <row r="34" ht="15.75" customHeight="1">
      <c r="A34" s="45" t="s">
        <v>49</v>
      </c>
      <c r="B34" s="46">
        <f>'Regular Season'!B34+Postseason!B34</f>
        <v>9</v>
      </c>
      <c r="C34" s="47">
        <f t="shared" si="17"/>
        <v>1</v>
      </c>
      <c r="D34" s="46">
        <f>'Regular Season'!D34+Postseason!D34</f>
        <v>6</v>
      </c>
      <c r="E34" s="46">
        <f>'Regular Season'!E34+Postseason!E34</f>
        <v>1</v>
      </c>
      <c r="F34" s="46">
        <f>'Regular Season'!F34+Postseason!F34</f>
        <v>31</v>
      </c>
      <c r="G34" s="48">
        <f>'Regular Season'!G34+Postseason!G34</f>
        <v>0.3333333333</v>
      </c>
      <c r="H34" s="46">
        <f>'Regular Season'!H34+Postseason!H34</f>
        <v>31.1</v>
      </c>
      <c r="I34" s="46">
        <f>'Regular Season'!I34+Postseason!I34</f>
        <v>17</v>
      </c>
      <c r="J34" s="46">
        <f>'Regular Season'!J34+Postseason!J34</f>
        <v>14</v>
      </c>
      <c r="K34" s="46">
        <f>'Regular Season'!K34+Postseason!K34</f>
        <v>11</v>
      </c>
      <c r="L34" s="46">
        <f>'Regular Season'!L34+Postseason!L34</f>
        <v>17</v>
      </c>
      <c r="M34" s="46">
        <f>'Regular Season'!M34+Postseason!M34</f>
        <v>32</v>
      </c>
      <c r="N34" s="46">
        <f>'Regular Season'!N34+Postseason!N34</f>
        <v>0</v>
      </c>
      <c r="O34" s="46">
        <f>'Regular Season'!O34+Postseason!O34</f>
        <v>4</v>
      </c>
      <c r="P34" s="46">
        <f>'Regular Season'!P34+Postseason!P34</f>
        <v>0</v>
      </c>
      <c r="Q34" s="46">
        <f>'Regular Season'!Q34+Postseason!Q34</f>
        <v>2</v>
      </c>
      <c r="R34" s="46">
        <f>'Regular Season'!R34+Postseason!R34</f>
        <v>1</v>
      </c>
      <c r="S34" s="49">
        <f t="shared" si="18"/>
        <v>1.085106383</v>
      </c>
      <c r="T34" s="49">
        <f t="shared" si="19"/>
        <v>2.457446809</v>
      </c>
      <c r="U34" s="50">
        <f t="shared" si="20"/>
        <v>3.79787234</v>
      </c>
      <c r="V34" s="49">
        <f t="shared" si="21"/>
        <v>3.79787234</v>
      </c>
      <c r="W34" s="49">
        <f t="shared" si="22"/>
        <v>7.14893617</v>
      </c>
      <c r="X34" s="51">
        <f t="shared" si="23"/>
        <v>9.191489362</v>
      </c>
      <c r="Y34" s="49">
        <f t="shared" si="24"/>
        <v>0</v>
      </c>
      <c r="Z34" s="63">
        <f t="shared" si="25"/>
        <v>0.53125</v>
      </c>
      <c r="AA34" s="53">
        <f>'Regular Season'!AA34+Postseason!AA34</f>
        <v>1</v>
      </c>
      <c r="AB34" s="64"/>
      <c r="AC34" s="64"/>
      <c r="AD34" s="64"/>
      <c r="AE34" s="64"/>
      <c r="AF34" s="64"/>
      <c r="AG34" s="65"/>
      <c r="AH34" s="65"/>
      <c r="AI34" s="65"/>
    </row>
    <row r="35" ht="15.75" customHeight="1">
      <c r="A35" s="45" t="s">
        <v>50</v>
      </c>
      <c r="B35" s="55">
        <f>'Regular Season'!B35+Postseason!B35</f>
        <v>4</v>
      </c>
      <c r="C35" s="56" t="str">
        <f t="shared" si="17"/>
        <v>-</v>
      </c>
      <c r="D35" s="55">
        <f>'Regular Season'!D35+Postseason!D35</f>
        <v>0</v>
      </c>
      <c r="E35" s="55">
        <f>'Regular Season'!E35+Postseason!E35</f>
        <v>0</v>
      </c>
      <c r="F35" s="55">
        <f>'Regular Season'!F35+Postseason!F35</f>
        <v>4</v>
      </c>
      <c r="G35" s="57">
        <f>'Regular Season'!G35+Postseason!G35</f>
        <v>0</v>
      </c>
      <c r="H35" s="55">
        <f>'Regular Season'!H35+Postseason!H35</f>
        <v>4</v>
      </c>
      <c r="I35" s="55">
        <f>'Regular Season'!I35+Postseason!I35</f>
        <v>1</v>
      </c>
      <c r="J35" s="55">
        <f>'Regular Season'!J35+Postseason!J35</f>
        <v>0</v>
      </c>
      <c r="K35" s="55">
        <f>'Regular Season'!K35+Postseason!K35</f>
        <v>0</v>
      </c>
      <c r="L35" s="55">
        <f>'Regular Season'!L35+Postseason!L35</f>
        <v>3</v>
      </c>
      <c r="M35" s="55">
        <f>'Regular Season'!M35+Postseason!M35</f>
        <v>2</v>
      </c>
      <c r="N35" s="55">
        <f>'Regular Season'!N35+Postseason!N35</f>
        <v>0</v>
      </c>
      <c r="O35" s="55">
        <f>'Regular Season'!O35+Postseason!O35</f>
        <v>0</v>
      </c>
      <c r="P35" s="55">
        <f>'Regular Season'!P35+Postseason!P35</f>
        <v>0</v>
      </c>
      <c r="Q35" s="55">
        <f>'Regular Season'!Q35+Postseason!Q35</f>
        <v>2</v>
      </c>
      <c r="R35" s="55">
        <f>'Regular Season'!R35+Postseason!R35</f>
        <v>0</v>
      </c>
      <c r="S35" s="58">
        <f t="shared" si="18"/>
        <v>1</v>
      </c>
      <c r="T35" s="58">
        <f t="shared" si="19"/>
        <v>0</v>
      </c>
      <c r="U35" s="59">
        <f t="shared" si="20"/>
        <v>1.75</v>
      </c>
      <c r="V35" s="58">
        <f t="shared" si="21"/>
        <v>5.25</v>
      </c>
      <c r="W35" s="58">
        <f t="shared" si="22"/>
        <v>3.5</v>
      </c>
      <c r="X35" s="60">
        <f t="shared" si="23"/>
        <v>4.5</v>
      </c>
      <c r="Y35" s="58">
        <f t="shared" si="24"/>
        <v>0</v>
      </c>
      <c r="Z35" s="61">
        <f t="shared" si="25"/>
        <v>1.5</v>
      </c>
      <c r="AA35" s="53">
        <f>'Regular Season'!AA35+Postseason!AA35</f>
        <v>0</v>
      </c>
      <c r="AB35" s="66"/>
      <c r="AC35" s="66"/>
      <c r="AD35" s="66"/>
      <c r="AE35" s="66"/>
      <c r="AF35" s="66"/>
      <c r="AG35" s="66"/>
      <c r="AH35" s="66"/>
      <c r="AI35" s="66"/>
    </row>
    <row r="36" ht="15.75" customHeight="1">
      <c r="A36" s="45" t="s">
        <v>82</v>
      </c>
      <c r="B36" s="46">
        <f>'Regular Season'!B36+Postseason!B36</f>
        <v>3</v>
      </c>
      <c r="C36" s="47">
        <f t="shared" si="17"/>
        <v>1</v>
      </c>
      <c r="D36" s="46">
        <f>'Regular Season'!D36+Postseason!D36</f>
        <v>3</v>
      </c>
      <c r="E36" s="46">
        <f>'Regular Season'!E36+Postseason!E36</f>
        <v>0</v>
      </c>
      <c r="F36" s="46">
        <f>'Regular Season'!F36+Postseason!F36</f>
        <v>13</v>
      </c>
      <c r="G36" s="48">
        <f>'Regular Season'!G36+Postseason!G36</f>
        <v>0.3333333333</v>
      </c>
      <c r="H36" s="46">
        <f>'Regular Season'!H36+Postseason!H36</f>
        <v>13.1</v>
      </c>
      <c r="I36" s="46">
        <f>'Regular Season'!I36+Postseason!I36</f>
        <v>6</v>
      </c>
      <c r="J36" s="46">
        <f>'Regular Season'!J36+Postseason!J36</f>
        <v>2</v>
      </c>
      <c r="K36" s="46">
        <f>'Regular Season'!K36+Postseason!K36</f>
        <v>0</v>
      </c>
      <c r="L36" s="46">
        <f>'Regular Season'!L36+Postseason!L36</f>
        <v>2</v>
      </c>
      <c r="M36" s="46">
        <f>'Regular Season'!M36+Postseason!M36</f>
        <v>17</v>
      </c>
      <c r="N36" s="46">
        <f>'Regular Season'!N36+Postseason!N36</f>
        <v>0</v>
      </c>
      <c r="O36" s="46">
        <f>'Regular Season'!O36+Postseason!O36</f>
        <v>2</v>
      </c>
      <c r="P36" s="46">
        <f>'Regular Season'!P36+Postseason!P36</f>
        <v>0</v>
      </c>
      <c r="Q36" s="46">
        <f>'Regular Season'!Q36+Postseason!Q36</f>
        <v>0</v>
      </c>
      <c r="R36" s="46">
        <f>'Regular Season'!R36+Postseason!R36</f>
        <v>1</v>
      </c>
      <c r="S36" s="49">
        <f t="shared" si="18"/>
        <v>0.6</v>
      </c>
      <c r="T36" s="49">
        <f t="shared" si="19"/>
        <v>0</v>
      </c>
      <c r="U36" s="50">
        <f t="shared" si="20"/>
        <v>3.15</v>
      </c>
      <c r="V36" s="49">
        <f t="shared" si="21"/>
        <v>1.05</v>
      </c>
      <c r="W36" s="49">
        <f t="shared" si="22"/>
        <v>8.925</v>
      </c>
      <c r="X36" s="51">
        <f t="shared" si="23"/>
        <v>11.475</v>
      </c>
      <c r="Y36" s="49">
        <f t="shared" si="24"/>
        <v>0</v>
      </c>
      <c r="Z36" s="63">
        <f t="shared" si="25"/>
        <v>0.1176470588</v>
      </c>
      <c r="AA36" s="53">
        <f>'Regular Season'!AA36+Postseason!AA36</f>
        <v>0</v>
      </c>
      <c r="AB36" s="64"/>
      <c r="AC36" s="64"/>
      <c r="AD36" s="64"/>
      <c r="AE36" s="64"/>
      <c r="AF36" s="64"/>
      <c r="AG36" s="65"/>
      <c r="AH36" s="65"/>
      <c r="AI36" s="65"/>
    </row>
    <row r="37" ht="15.75" customHeight="1">
      <c r="A37" s="45" t="s">
        <v>51</v>
      </c>
      <c r="B37" s="55">
        <f>'Regular Season'!B37+Postseason!B37</f>
        <v>0</v>
      </c>
      <c r="C37" s="56" t="str">
        <f t="shared" si="17"/>
        <v>-</v>
      </c>
      <c r="D37" s="55">
        <f>'Regular Season'!D37+Postseason!D37</f>
        <v>0</v>
      </c>
      <c r="E37" s="55">
        <f>'Regular Season'!E37+Postseason!E37</f>
        <v>0</v>
      </c>
      <c r="F37" s="55">
        <f>'Regular Season'!F37+Postseason!F37</f>
        <v>0</v>
      </c>
      <c r="G37" s="57">
        <f>'Regular Season'!G37+Postseason!G37</f>
        <v>0</v>
      </c>
      <c r="H37" s="55">
        <f>'Regular Season'!H37+Postseason!H37</f>
        <v>0</v>
      </c>
      <c r="I37" s="55">
        <f>'Regular Season'!I37+Postseason!I37</f>
        <v>0</v>
      </c>
      <c r="J37" s="55">
        <f>'Regular Season'!J37+Postseason!J37</f>
        <v>0</v>
      </c>
      <c r="K37" s="55">
        <f>'Regular Season'!K37+Postseason!K37</f>
        <v>0</v>
      </c>
      <c r="L37" s="55">
        <f>'Regular Season'!L37+Postseason!L37</f>
        <v>0</v>
      </c>
      <c r="M37" s="55">
        <f>'Regular Season'!M37+Postseason!M37</f>
        <v>0</v>
      </c>
      <c r="N37" s="55">
        <f>'Regular Season'!N37+Postseason!N37</f>
        <v>0</v>
      </c>
      <c r="O37" s="55">
        <f>'Regular Season'!O37+Postseason!O37</f>
        <v>0</v>
      </c>
      <c r="P37" s="55">
        <f>'Regular Season'!P37+Postseason!P37</f>
        <v>0</v>
      </c>
      <c r="Q37" s="55">
        <f>'Regular Season'!Q37+Postseason!Q37</f>
        <v>0</v>
      </c>
      <c r="R37" s="55">
        <f>'Regular Season'!R37+Postseason!R37</f>
        <v>0</v>
      </c>
      <c r="S37" s="58" t="str">
        <f t="shared" si="18"/>
        <v>-</v>
      </c>
      <c r="T37" s="58" t="str">
        <f t="shared" si="19"/>
        <v>-</v>
      </c>
      <c r="U37" s="59" t="str">
        <f t="shared" si="20"/>
        <v>-</v>
      </c>
      <c r="V37" s="58" t="str">
        <f t="shared" si="21"/>
        <v>-</v>
      </c>
      <c r="W37" s="58" t="str">
        <f t="shared" si="22"/>
        <v>-</v>
      </c>
      <c r="X37" s="60" t="str">
        <f t="shared" si="23"/>
        <v>-</v>
      </c>
      <c r="Y37" s="58" t="str">
        <f t="shared" si="24"/>
        <v>-</v>
      </c>
      <c r="Z37" s="61" t="str">
        <f t="shared" si="25"/>
        <v>-</v>
      </c>
      <c r="AA37" s="53">
        <f>'Regular Season'!AA37+Postseason!AA37</f>
        <v>0</v>
      </c>
      <c r="AB37" s="67"/>
      <c r="AC37" s="67"/>
      <c r="AD37" s="67"/>
      <c r="AE37" s="67"/>
      <c r="AF37" s="67"/>
      <c r="AG37" s="62"/>
      <c r="AH37" s="62"/>
      <c r="AI37" s="62"/>
    </row>
    <row r="38" ht="15.75" customHeight="1">
      <c r="A38" s="45" t="s">
        <v>83</v>
      </c>
      <c r="B38" s="55">
        <f>'Regular Season'!B38+Postseason!B38</f>
        <v>9</v>
      </c>
      <c r="C38" s="56">
        <f t="shared" si="17"/>
        <v>0.7142857143</v>
      </c>
      <c r="D38" s="55">
        <f>'Regular Season'!D38+Postseason!D38</f>
        <v>9</v>
      </c>
      <c r="E38" s="55">
        <f>'Regular Season'!E38+Postseason!E38</f>
        <v>2</v>
      </c>
      <c r="F38" s="55">
        <f>'Regular Season'!F38+Postseason!F38</f>
        <v>49</v>
      </c>
      <c r="G38" s="57">
        <f>'Regular Season'!G38+Postseason!G38</f>
        <v>0</v>
      </c>
      <c r="H38" s="55">
        <f>'Regular Season'!H38+Postseason!H38</f>
        <v>49</v>
      </c>
      <c r="I38" s="55">
        <f>'Regular Season'!I38+Postseason!I38</f>
        <v>29</v>
      </c>
      <c r="J38" s="55">
        <f>'Regular Season'!J38+Postseason!J38</f>
        <v>15</v>
      </c>
      <c r="K38" s="55">
        <f>'Regular Season'!K38+Postseason!K38</f>
        <v>14</v>
      </c>
      <c r="L38" s="55">
        <f>'Regular Season'!L38+Postseason!L38</f>
        <v>21</v>
      </c>
      <c r="M38" s="55">
        <f>'Regular Season'!M38+Postseason!M38</f>
        <v>83</v>
      </c>
      <c r="N38" s="55">
        <f>'Regular Season'!N38+Postseason!N38</f>
        <v>0</v>
      </c>
      <c r="O38" s="55">
        <f>'Regular Season'!O38+Postseason!O38</f>
        <v>5</v>
      </c>
      <c r="P38" s="55">
        <f>'Regular Season'!P38+Postseason!P38</f>
        <v>2</v>
      </c>
      <c r="Q38" s="55">
        <f>'Regular Season'!Q38+Postseason!Q38</f>
        <v>0</v>
      </c>
      <c r="R38" s="55">
        <f>'Regular Season'!R38+Postseason!R38</f>
        <v>2</v>
      </c>
      <c r="S38" s="58">
        <f t="shared" si="18"/>
        <v>1.020408163</v>
      </c>
      <c r="T38" s="58">
        <f t="shared" si="19"/>
        <v>2</v>
      </c>
      <c r="U38" s="59">
        <f t="shared" si="20"/>
        <v>4.142857143</v>
      </c>
      <c r="V38" s="58">
        <f t="shared" si="21"/>
        <v>3</v>
      </c>
      <c r="W38" s="58">
        <f t="shared" si="22"/>
        <v>11.85714286</v>
      </c>
      <c r="X38" s="60">
        <f t="shared" si="23"/>
        <v>15.24489796</v>
      </c>
      <c r="Y38" s="58">
        <f t="shared" si="24"/>
        <v>0</v>
      </c>
      <c r="Z38" s="61">
        <f t="shared" si="25"/>
        <v>0.2530120482</v>
      </c>
      <c r="AA38" s="53">
        <f>'Regular Season'!AA38+Postseason!AA38</f>
        <v>0</v>
      </c>
      <c r="AB38" s="67"/>
      <c r="AC38" s="67"/>
      <c r="AD38" s="67"/>
      <c r="AE38" s="67"/>
      <c r="AF38" s="67"/>
      <c r="AG38" s="62"/>
      <c r="AH38" s="62"/>
      <c r="AI38" s="62"/>
    </row>
    <row r="39" ht="15.75" customHeight="1">
      <c r="A39" s="4" t="s">
        <v>54</v>
      </c>
      <c r="B39" s="4"/>
      <c r="C39" s="34">
        <f>O39/(O39+P39)</f>
        <v>0.8620689655</v>
      </c>
      <c r="D39" s="4">
        <f t="shared" ref="D39:G39" si="26">SUM(D26:D38)</f>
        <v>29</v>
      </c>
      <c r="E39" s="4">
        <f t="shared" si="26"/>
        <v>5</v>
      </c>
      <c r="F39" s="4">
        <f t="shared" si="26"/>
        <v>190</v>
      </c>
      <c r="G39" s="35">
        <f t="shared" si="26"/>
        <v>3.666666667</v>
      </c>
      <c r="H39" s="68">
        <f>F39+ifs(G39=1/3, 0.1, G39=2/3, 0.2, G39=0, 0, G39=1, 1, G39=4/3, 1.1, G39=5/3, 1.2, G39=2, 2, G39=7/3, 2.1, G39=8/3, 2.2, G39=11/3, 3.2)</f>
        <v>193.2</v>
      </c>
      <c r="I39" s="4">
        <f t="shared" ref="I39:R39" si="27">SUM(I26:I38)</f>
        <v>131</v>
      </c>
      <c r="J39" s="4">
        <f t="shared" si="27"/>
        <v>94</v>
      </c>
      <c r="K39" s="4">
        <f t="shared" si="27"/>
        <v>77</v>
      </c>
      <c r="L39" s="4">
        <f t="shared" si="27"/>
        <v>111</v>
      </c>
      <c r="M39" s="4">
        <f t="shared" si="27"/>
        <v>211</v>
      </c>
      <c r="N39" s="4">
        <f t="shared" si="27"/>
        <v>3</v>
      </c>
      <c r="O39" s="4">
        <f t="shared" si="27"/>
        <v>25</v>
      </c>
      <c r="P39" s="4">
        <f t="shared" si="27"/>
        <v>4</v>
      </c>
      <c r="Q39" s="4">
        <f t="shared" si="27"/>
        <v>8</v>
      </c>
      <c r="R39" s="4">
        <f t="shared" si="27"/>
        <v>6</v>
      </c>
      <c r="S39" s="33">
        <f>iferror((L39+I39)/(F39+G39), 0)</f>
        <v>1.249569707</v>
      </c>
      <c r="T39" s="33">
        <f>iferror((K39/(F39+G39))*7, 0)</f>
        <v>2.78313253</v>
      </c>
      <c r="U39" s="33">
        <f>iferror(7*(I39/(F39+G39)), 0)</f>
        <v>4.734939759</v>
      </c>
      <c r="V39" s="33">
        <f>iferror(7*(L39/(F39+G39)), 0)</f>
        <v>4.012048193</v>
      </c>
      <c r="W39" s="33">
        <f>iferror(7*(M39/(F39+G39)), 0)</f>
        <v>7.626506024</v>
      </c>
      <c r="X39" s="69">
        <f>iferror(9*(M39/(F39+G39)), 0)</f>
        <v>9.805507745</v>
      </c>
      <c r="Y39" s="33">
        <f>iferror(7*(N39/(F39+G39)), 0)</f>
        <v>0.1084337349</v>
      </c>
      <c r="Z39" s="35">
        <f>iferror(L39/M39, 0)</f>
        <v>0.5260663507</v>
      </c>
      <c r="AA39" s="4">
        <f>SUM(AA26:AA38)</f>
        <v>2</v>
      </c>
      <c r="AB39" s="4"/>
      <c r="AC39" s="4"/>
      <c r="AD39" s="4"/>
      <c r="AE39" s="4"/>
      <c r="AF39" s="4"/>
      <c r="AG39" s="5"/>
      <c r="AH39" s="5"/>
      <c r="AI39" s="5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40"/>
      <c r="AA40" s="39"/>
      <c r="AB40" s="44"/>
      <c r="AC40" s="44"/>
      <c r="AD40" s="44"/>
      <c r="AE40" s="44"/>
      <c r="AF40" s="44"/>
      <c r="AG40" s="44"/>
      <c r="AH40" s="44"/>
      <c r="AI40" s="44"/>
    </row>
    <row r="41" ht="15.75" customHeight="1">
      <c r="A41" s="39"/>
      <c r="B41" s="39"/>
      <c r="C41" s="39"/>
      <c r="D41" s="70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40"/>
      <c r="AA41" s="39"/>
      <c r="AB41" s="44"/>
      <c r="AC41" s="44"/>
      <c r="AD41" s="44"/>
      <c r="AE41" s="44"/>
      <c r="AF41" s="44"/>
      <c r="AG41" s="44"/>
      <c r="AH41" s="44"/>
      <c r="AI41" s="44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40"/>
      <c r="AA42" s="39"/>
      <c r="AB42" s="44"/>
      <c r="AC42" s="44"/>
      <c r="AD42" s="44"/>
      <c r="AE42" s="44"/>
      <c r="AF42" s="44"/>
      <c r="AG42" s="44"/>
      <c r="AH42" s="44"/>
      <c r="AI42" s="44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40"/>
      <c r="AA43" s="39"/>
      <c r="AB43" s="44"/>
      <c r="AC43" s="44"/>
      <c r="AD43" s="44"/>
      <c r="AE43" s="44"/>
      <c r="AF43" s="44"/>
      <c r="AG43" s="44"/>
      <c r="AH43" s="44"/>
      <c r="AI43" s="44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40"/>
      <c r="AA44" s="39"/>
      <c r="AB44" s="44"/>
      <c r="AC44" s="44"/>
      <c r="AD44" s="44"/>
      <c r="AE44" s="44"/>
      <c r="AF44" s="44"/>
      <c r="AG44" s="44"/>
      <c r="AH44" s="44"/>
      <c r="AI44" s="44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40"/>
      <c r="AA45" s="39"/>
      <c r="AB45" s="44"/>
      <c r="AC45" s="44"/>
      <c r="AD45" s="44"/>
      <c r="AE45" s="44"/>
      <c r="AF45" s="44"/>
      <c r="AG45" s="44"/>
      <c r="AH45" s="44"/>
      <c r="AI45" s="44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40"/>
      <c r="AA46" s="39"/>
      <c r="AB46" s="44"/>
      <c r="AC46" s="44"/>
      <c r="AD46" s="44"/>
      <c r="AE46" s="44"/>
      <c r="AF46" s="44"/>
      <c r="AG46" s="44"/>
      <c r="AH46" s="44"/>
      <c r="AI46" s="44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40"/>
      <c r="AA47" s="39"/>
      <c r="AB47" s="44"/>
      <c r="AC47" s="44"/>
      <c r="AD47" s="44"/>
      <c r="AE47" s="44"/>
      <c r="AF47" s="44"/>
      <c r="AG47" s="44"/>
      <c r="AH47" s="44"/>
      <c r="AI47" s="44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40"/>
      <c r="AA48" s="39"/>
      <c r="AB48" s="44"/>
      <c r="AC48" s="44"/>
      <c r="AD48" s="44"/>
      <c r="AE48" s="44"/>
      <c r="AF48" s="44"/>
      <c r="AG48" s="44"/>
      <c r="AH48" s="44"/>
      <c r="AI48" s="44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40"/>
      <c r="AA49" s="39"/>
      <c r="AB49" s="44"/>
      <c r="AC49" s="44"/>
      <c r="AD49" s="44"/>
      <c r="AE49" s="44"/>
      <c r="AF49" s="44"/>
      <c r="AG49" s="44"/>
      <c r="AH49" s="44"/>
      <c r="AI49" s="44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40"/>
      <c r="AA50" s="39"/>
      <c r="AB50" s="44"/>
      <c r="AC50" s="44"/>
      <c r="AD50" s="44"/>
      <c r="AE50" s="44"/>
      <c r="AF50" s="44"/>
      <c r="AG50" s="44"/>
      <c r="AH50" s="44"/>
      <c r="AI50" s="44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40"/>
      <c r="AA51" s="39"/>
      <c r="AB51" s="44"/>
      <c r="AC51" s="44"/>
      <c r="AD51" s="44"/>
      <c r="AE51" s="44"/>
      <c r="AF51" s="44"/>
      <c r="AG51" s="44"/>
      <c r="AH51" s="44"/>
      <c r="AI51" s="44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40"/>
      <c r="AA52" s="39"/>
      <c r="AB52" s="44"/>
      <c r="AC52" s="44"/>
      <c r="AD52" s="44"/>
      <c r="AE52" s="44"/>
      <c r="AF52" s="44"/>
      <c r="AG52" s="44"/>
      <c r="AH52" s="44"/>
      <c r="AI52" s="44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40"/>
      <c r="AA53" s="39"/>
      <c r="AB53" s="44"/>
      <c r="AC53" s="44"/>
      <c r="AD53" s="44"/>
      <c r="AE53" s="44"/>
      <c r="AF53" s="44"/>
      <c r="AG53" s="44"/>
      <c r="AH53" s="44"/>
      <c r="AI53" s="44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40"/>
      <c r="AA54" s="39"/>
      <c r="AB54" s="44"/>
      <c r="AC54" s="44"/>
      <c r="AD54" s="44"/>
      <c r="AE54" s="44"/>
      <c r="AF54" s="44"/>
      <c r="AG54" s="44"/>
      <c r="AH54" s="44"/>
      <c r="AI54" s="44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40"/>
      <c r="AA55" s="39"/>
      <c r="AB55" s="44"/>
      <c r="AC55" s="44"/>
      <c r="AD55" s="44"/>
      <c r="AE55" s="44"/>
      <c r="AF55" s="44"/>
      <c r="AG55" s="44"/>
      <c r="AH55" s="44"/>
      <c r="AI55" s="44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40"/>
      <c r="AA56" s="39"/>
      <c r="AB56" s="44"/>
      <c r="AC56" s="44"/>
      <c r="AD56" s="44"/>
      <c r="AE56" s="44"/>
      <c r="AF56" s="44"/>
      <c r="AG56" s="44"/>
      <c r="AH56" s="44"/>
      <c r="AI56" s="44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40"/>
      <c r="AA57" s="39"/>
      <c r="AB57" s="44"/>
      <c r="AC57" s="44"/>
      <c r="AD57" s="44"/>
      <c r="AE57" s="44"/>
      <c r="AF57" s="44"/>
      <c r="AG57" s="44"/>
      <c r="AH57" s="44"/>
      <c r="AI57" s="44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40"/>
      <c r="AA58" s="39"/>
      <c r="AB58" s="44"/>
      <c r="AC58" s="44"/>
      <c r="AD58" s="44"/>
      <c r="AE58" s="44"/>
      <c r="AF58" s="44"/>
      <c r="AG58" s="44"/>
      <c r="AH58" s="44"/>
      <c r="AI58" s="44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40"/>
      <c r="AA59" s="39"/>
      <c r="AB59" s="44"/>
      <c r="AC59" s="44"/>
      <c r="AD59" s="44"/>
      <c r="AE59" s="44"/>
      <c r="AF59" s="44"/>
      <c r="AG59" s="44"/>
      <c r="AH59" s="44"/>
      <c r="AI59" s="44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40"/>
      <c r="AA60" s="39"/>
      <c r="AB60" s="44"/>
      <c r="AC60" s="44"/>
      <c r="AD60" s="44"/>
      <c r="AE60" s="44"/>
      <c r="AF60" s="44"/>
      <c r="AG60" s="44"/>
      <c r="AH60" s="44"/>
      <c r="AI60" s="44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40"/>
      <c r="AA61" s="39"/>
      <c r="AB61" s="44"/>
      <c r="AC61" s="44"/>
      <c r="AD61" s="44"/>
      <c r="AE61" s="44"/>
      <c r="AF61" s="44"/>
      <c r="AG61" s="44"/>
      <c r="AH61" s="44"/>
      <c r="AI61" s="44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40"/>
      <c r="AA62" s="39"/>
      <c r="AB62" s="44"/>
      <c r="AC62" s="44"/>
      <c r="AD62" s="44"/>
      <c r="AE62" s="44"/>
      <c r="AF62" s="44"/>
      <c r="AG62" s="44"/>
      <c r="AH62" s="44"/>
      <c r="AI62" s="44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40"/>
      <c r="AA63" s="39"/>
      <c r="AB63" s="44"/>
      <c r="AC63" s="44"/>
      <c r="AD63" s="44"/>
      <c r="AE63" s="44"/>
      <c r="AF63" s="44"/>
      <c r="AG63" s="44"/>
      <c r="AH63" s="44"/>
      <c r="AI63" s="44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40"/>
      <c r="AA64" s="39"/>
      <c r="AB64" s="44"/>
      <c r="AC64" s="44"/>
      <c r="AD64" s="44"/>
      <c r="AE64" s="44"/>
      <c r="AF64" s="44"/>
      <c r="AG64" s="44"/>
      <c r="AH64" s="44"/>
      <c r="AI64" s="44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40"/>
      <c r="AA65" s="39"/>
      <c r="AB65" s="44"/>
      <c r="AC65" s="44"/>
      <c r="AD65" s="44"/>
      <c r="AE65" s="44"/>
      <c r="AF65" s="44"/>
      <c r="AG65" s="44"/>
      <c r="AH65" s="44"/>
      <c r="AI65" s="44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39"/>
      <c r="AB66" s="44"/>
      <c r="AC66" s="44"/>
      <c r="AD66" s="44"/>
      <c r="AE66" s="44"/>
      <c r="AF66" s="44"/>
      <c r="AG66" s="44"/>
      <c r="AH66" s="44"/>
      <c r="AI66" s="44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40"/>
      <c r="AA67" s="39"/>
      <c r="AB67" s="44"/>
      <c r="AC67" s="44"/>
      <c r="AD67" s="44"/>
      <c r="AE67" s="44"/>
      <c r="AF67" s="44"/>
      <c r="AG67" s="44"/>
      <c r="AH67" s="44"/>
      <c r="AI67" s="44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40"/>
      <c r="AA68" s="39"/>
      <c r="AB68" s="44"/>
      <c r="AC68" s="44"/>
      <c r="AD68" s="44"/>
      <c r="AE68" s="44"/>
      <c r="AF68" s="44"/>
      <c r="AG68" s="44"/>
      <c r="AH68" s="44"/>
      <c r="AI68" s="44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40"/>
      <c r="AA69" s="39"/>
      <c r="AB69" s="44"/>
      <c r="AC69" s="44"/>
      <c r="AD69" s="44"/>
      <c r="AE69" s="44"/>
      <c r="AF69" s="44"/>
      <c r="AG69" s="44"/>
      <c r="AH69" s="44"/>
      <c r="AI69" s="44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40"/>
      <c r="AA70" s="39"/>
      <c r="AB70" s="44"/>
      <c r="AC70" s="44"/>
      <c r="AD70" s="44"/>
      <c r="AE70" s="44"/>
      <c r="AF70" s="44"/>
      <c r="AG70" s="44"/>
      <c r="AH70" s="44"/>
      <c r="AI70" s="44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40"/>
      <c r="AA71" s="39"/>
      <c r="AB71" s="44"/>
      <c r="AC71" s="44"/>
      <c r="AD71" s="44"/>
      <c r="AE71" s="44"/>
      <c r="AF71" s="44"/>
      <c r="AG71" s="44"/>
      <c r="AH71" s="44"/>
      <c r="AI71" s="44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40"/>
      <c r="AA72" s="39"/>
      <c r="AB72" s="44"/>
      <c r="AC72" s="44"/>
      <c r="AD72" s="44"/>
      <c r="AE72" s="44"/>
      <c r="AF72" s="44"/>
      <c r="AG72" s="44"/>
      <c r="AH72" s="44"/>
      <c r="AI72" s="44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40"/>
      <c r="AA73" s="39"/>
      <c r="AB73" s="44"/>
      <c r="AC73" s="44"/>
      <c r="AD73" s="44"/>
      <c r="AE73" s="44"/>
      <c r="AF73" s="44"/>
      <c r="AG73" s="44"/>
      <c r="AH73" s="44"/>
      <c r="AI73" s="44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40"/>
      <c r="AA74" s="39"/>
      <c r="AB74" s="44"/>
      <c r="AC74" s="44"/>
      <c r="AD74" s="44"/>
      <c r="AE74" s="44"/>
      <c r="AF74" s="44"/>
      <c r="AG74" s="44"/>
      <c r="AH74" s="44"/>
      <c r="AI74" s="44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40"/>
      <c r="AA75" s="39"/>
      <c r="AB75" s="44"/>
      <c r="AC75" s="44"/>
      <c r="AD75" s="44"/>
      <c r="AE75" s="44"/>
      <c r="AF75" s="44"/>
      <c r="AG75" s="44"/>
      <c r="AH75" s="44"/>
      <c r="AI75" s="44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40"/>
      <c r="AA76" s="39"/>
      <c r="AB76" s="44"/>
      <c r="AC76" s="44"/>
      <c r="AD76" s="44"/>
      <c r="AE76" s="44"/>
      <c r="AF76" s="44"/>
      <c r="AG76" s="44"/>
      <c r="AH76" s="44"/>
      <c r="AI76" s="44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40"/>
      <c r="AA77" s="39"/>
      <c r="AB77" s="44"/>
      <c r="AC77" s="44"/>
      <c r="AD77" s="44"/>
      <c r="AE77" s="44"/>
      <c r="AF77" s="44"/>
      <c r="AG77" s="44"/>
      <c r="AH77" s="44"/>
      <c r="AI77" s="44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40"/>
      <c r="AA78" s="39"/>
      <c r="AB78" s="44"/>
      <c r="AC78" s="44"/>
      <c r="AD78" s="44"/>
      <c r="AE78" s="44"/>
      <c r="AF78" s="44"/>
      <c r="AG78" s="44"/>
      <c r="AH78" s="44"/>
      <c r="AI78" s="44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40"/>
      <c r="AA79" s="39"/>
      <c r="AB79" s="44"/>
      <c r="AC79" s="44"/>
      <c r="AD79" s="44"/>
      <c r="AE79" s="44"/>
      <c r="AF79" s="44"/>
      <c r="AG79" s="44"/>
      <c r="AH79" s="44"/>
      <c r="AI79" s="44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40"/>
      <c r="AA80" s="39"/>
      <c r="AB80" s="44"/>
      <c r="AC80" s="44"/>
      <c r="AD80" s="44"/>
      <c r="AE80" s="44"/>
      <c r="AF80" s="44"/>
      <c r="AG80" s="44"/>
      <c r="AH80" s="44"/>
      <c r="AI80" s="44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40"/>
      <c r="AA81" s="39"/>
      <c r="AB81" s="44"/>
      <c r="AC81" s="44"/>
      <c r="AD81" s="44"/>
      <c r="AE81" s="44"/>
      <c r="AF81" s="44"/>
      <c r="AG81" s="44"/>
      <c r="AH81" s="44"/>
      <c r="AI81" s="44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40"/>
      <c r="AA82" s="39"/>
      <c r="AB82" s="44"/>
      <c r="AC82" s="44"/>
      <c r="AD82" s="44"/>
      <c r="AE82" s="44"/>
      <c r="AF82" s="44"/>
      <c r="AG82" s="44"/>
      <c r="AH82" s="44"/>
      <c r="AI82" s="44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40"/>
      <c r="AA83" s="39"/>
      <c r="AB83" s="44"/>
      <c r="AC83" s="44"/>
      <c r="AD83" s="44"/>
      <c r="AE83" s="44"/>
      <c r="AF83" s="44"/>
      <c r="AG83" s="44"/>
      <c r="AH83" s="44"/>
      <c r="AI83" s="44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40"/>
      <c r="AA84" s="39"/>
      <c r="AB84" s="44"/>
      <c r="AC84" s="44"/>
      <c r="AD84" s="44"/>
      <c r="AE84" s="44"/>
      <c r="AF84" s="44"/>
      <c r="AG84" s="44"/>
      <c r="AH84" s="44"/>
      <c r="AI84" s="44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40"/>
      <c r="AA85" s="39"/>
      <c r="AB85" s="44"/>
      <c r="AC85" s="44"/>
      <c r="AD85" s="44"/>
      <c r="AE85" s="44"/>
      <c r="AF85" s="44"/>
      <c r="AG85" s="44"/>
      <c r="AH85" s="44"/>
      <c r="AI85" s="44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40"/>
      <c r="AA86" s="39"/>
      <c r="AB86" s="44"/>
      <c r="AC86" s="44"/>
      <c r="AD86" s="44"/>
      <c r="AE86" s="44"/>
      <c r="AF86" s="44"/>
      <c r="AG86" s="44"/>
      <c r="AH86" s="44"/>
      <c r="AI86" s="44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40"/>
      <c r="AA87" s="39"/>
      <c r="AB87" s="44"/>
      <c r="AC87" s="44"/>
      <c r="AD87" s="44"/>
      <c r="AE87" s="44"/>
      <c r="AF87" s="44"/>
      <c r="AG87" s="44"/>
      <c r="AH87" s="44"/>
      <c r="AI87" s="44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40"/>
      <c r="AA88" s="39"/>
      <c r="AB88" s="44"/>
      <c r="AC88" s="44"/>
      <c r="AD88" s="44"/>
      <c r="AE88" s="44"/>
      <c r="AF88" s="44"/>
      <c r="AG88" s="44"/>
      <c r="AH88" s="44"/>
      <c r="AI88" s="44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40"/>
      <c r="AA89" s="39"/>
      <c r="AB89" s="44"/>
      <c r="AC89" s="44"/>
      <c r="AD89" s="44"/>
      <c r="AE89" s="44"/>
      <c r="AF89" s="44"/>
      <c r="AG89" s="44"/>
      <c r="AH89" s="44"/>
      <c r="AI89" s="44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40"/>
      <c r="AA90" s="39"/>
      <c r="AB90" s="44"/>
      <c r="AC90" s="44"/>
      <c r="AD90" s="44"/>
      <c r="AE90" s="44"/>
      <c r="AF90" s="44"/>
      <c r="AG90" s="44"/>
      <c r="AH90" s="44"/>
      <c r="AI90" s="44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40"/>
      <c r="AA91" s="39"/>
      <c r="AB91" s="44"/>
      <c r="AC91" s="44"/>
      <c r="AD91" s="44"/>
      <c r="AE91" s="44"/>
      <c r="AF91" s="44"/>
      <c r="AG91" s="44"/>
      <c r="AH91" s="44"/>
      <c r="AI91" s="44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40"/>
      <c r="AA92" s="39"/>
      <c r="AB92" s="44"/>
      <c r="AC92" s="44"/>
      <c r="AD92" s="44"/>
      <c r="AE92" s="44"/>
      <c r="AF92" s="44"/>
      <c r="AG92" s="44"/>
      <c r="AH92" s="44"/>
      <c r="AI92" s="44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40"/>
      <c r="AA93" s="39"/>
      <c r="AB93" s="44"/>
      <c r="AC93" s="44"/>
      <c r="AD93" s="44"/>
      <c r="AE93" s="44"/>
      <c r="AF93" s="44"/>
      <c r="AG93" s="44"/>
      <c r="AH93" s="44"/>
      <c r="AI93" s="44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40"/>
      <c r="AA94" s="39"/>
      <c r="AB94" s="44"/>
      <c r="AC94" s="44"/>
      <c r="AD94" s="44"/>
      <c r="AE94" s="44"/>
      <c r="AF94" s="44"/>
      <c r="AG94" s="44"/>
      <c r="AH94" s="44"/>
      <c r="AI94" s="44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40"/>
      <c r="AA95" s="39"/>
      <c r="AB95" s="44"/>
      <c r="AC95" s="44"/>
      <c r="AD95" s="44"/>
      <c r="AE95" s="44"/>
      <c r="AF95" s="44"/>
      <c r="AG95" s="44"/>
      <c r="AH95" s="44"/>
      <c r="AI95" s="44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40"/>
      <c r="AA96" s="39"/>
      <c r="AB96" s="44"/>
      <c r="AC96" s="44"/>
      <c r="AD96" s="44"/>
      <c r="AE96" s="44"/>
      <c r="AF96" s="44"/>
      <c r="AG96" s="44"/>
      <c r="AH96" s="44"/>
      <c r="AI96" s="44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40"/>
      <c r="AA97" s="39"/>
      <c r="AB97" s="44"/>
      <c r="AC97" s="44"/>
      <c r="AD97" s="44"/>
      <c r="AE97" s="44"/>
      <c r="AF97" s="44"/>
      <c r="AG97" s="44"/>
      <c r="AH97" s="44"/>
      <c r="AI97" s="44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40"/>
      <c r="AA98" s="39"/>
      <c r="AB98" s="44"/>
      <c r="AC98" s="44"/>
      <c r="AD98" s="44"/>
      <c r="AE98" s="44"/>
      <c r="AF98" s="44"/>
      <c r="AG98" s="44"/>
      <c r="AH98" s="44"/>
      <c r="AI98" s="44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40"/>
      <c r="AA99" s="39"/>
      <c r="AB99" s="44"/>
      <c r="AC99" s="44"/>
      <c r="AD99" s="44"/>
      <c r="AE99" s="44"/>
      <c r="AF99" s="44"/>
      <c r="AG99" s="44"/>
      <c r="AH99" s="44"/>
      <c r="AI99" s="44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40"/>
      <c r="AA100" s="39"/>
      <c r="AB100" s="44"/>
      <c r="AC100" s="44"/>
      <c r="AD100" s="44"/>
      <c r="AE100" s="44"/>
      <c r="AF100" s="44"/>
      <c r="AG100" s="44"/>
      <c r="AH100" s="44"/>
      <c r="AI100" s="44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40"/>
      <c r="AA101" s="39"/>
      <c r="AB101" s="44"/>
      <c r="AC101" s="44"/>
      <c r="AD101" s="44"/>
      <c r="AE101" s="44"/>
      <c r="AF101" s="44"/>
      <c r="AG101" s="44"/>
      <c r="AH101" s="44"/>
      <c r="AI101" s="44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40"/>
      <c r="AA102" s="39"/>
      <c r="AB102" s="44"/>
      <c r="AC102" s="44"/>
      <c r="AD102" s="44"/>
      <c r="AE102" s="44"/>
      <c r="AF102" s="44"/>
      <c r="AG102" s="44"/>
      <c r="AH102" s="44"/>
      <c r="AI102" s="44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40"/>
      <c r="AA103" s="39"/>
      <c r="AB103" s="44"/>
      <c r="AC103" s="44"/>
      <c r="AD103" s="44"/>
      <c r="AE103" s="44"/>
      <c r="AF103" s="44"/>
      <c r="AG103" s="44"/>
      <c r="AH103" s="44"/>
      <c r="AI103" s="44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39"/>
      <c r="AB104" s="44"/>
      <c r="AC104" s="44"/>
      <c r="AD104" s="44"/>
      <c r="AE104" s="44"/>
      <c r="AF104" s="44"/>
      <c r="AG104" s="44"/>
      <c r="AH104" s="44"/>
      <c r="AI104" s="44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40"/>
      <c r="AA105" s="39"/>
      <c r="AB105" s="44"/>
      <c r="AC105" s="44"/>
      <c r="AD105" s="44"/>
      <c r="AE105" s="44"/>
      <c r="AF105" s="44"/>
      <c r="AG105" s="44"/>
      <c r="AH105" s="44"/>
      <c r="AI105" s="44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40"/>
      <c r="AA106" s="39"/>
      <c r="AB106" s="44"/>
      <c r="AC106" s="44"/>
      <c r="AD106" s="44"/>
      <c r="AE106" s="44"/>
      <c r="AF106" s="44"/>
      <c r="AG106" s="44"/>
      <c r="AH106" s="44"/>
      <c r="AI106" s="44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40"/>
      <c r="AA107" s="39"/>
      <c r="AB107" s="44"/>
      <c r="AC107" s="44"/>
      <c r="AD107" s="44"/>
      <c r="AE107" s="44"/>
      <c r="AF107" s="44"/>
      <c r="AG107" s="44"/>
      <c r="AH107" s="44"/>
      <c r="AI107" s="44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40"/>
      <c r="AA108" s="39"/>
      <c r="AB108" s="44"/>
      <c r="AC108" s="44"/>
      <c r="AD108" s="44"/>
      <c r="AE108" s="44"/>
      <c r="AF108" s="44"/>
      <c r="AG108" s="44"/>
      <c r="AH108" s="44"/>
      <c r="AI108" s="44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40"/>
      <c r="AA109" s="39"/>
      <c r="AB109" s="44"/>
      <c r="AC109" s="44"/>
      <c r="AD109" s="44"/>
      <c r="AE109" s="44"/>
      <c r="AF109" s="44"/>
      <c r="AG109" s="44"/>
      <c r="AH109" s="44"/>
      <c r="AI109" s="44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40"/>
      <c r="AA110" s="39"/>
      <c r="AB110" s="44"/>
      <c r="AC110" s="44"/>
      <c r="AD110" s="44"/>
      <c r="AE110" s="44"/>
      <c r="AF110" s="44"/>
      <c r="AG110" s="44"/>
      <c r="AH110" s="44"/>
      <c r="AI110" s="44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40"/>
      <c r="AA111" s="39"/>
      <c r="AB111" s="44"/>
      <c r="AC111" s="44"/>
      <c r="AD111" s="44"/>
      <c r="AE111" s="44"/>
      <c r="AF111" s="44"/>
      <c r="AG111" s="44"/>
      <c r="AH111" s="44"/>
      <c r="AI111" s="44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40"/>
      <c r="AA112" s="39"/>
      <c r="AB112" s="44"/>
      <c r="AC112" s="44"/>
      <c r="AD112" s="44"/>
      <c r="AE112" s="44"/>
      <c r="AF112" s="44"/>
      <c r="AG112" s="44"/>
      <c r="AH112" s="44"/>
      <c r="AI112" s="44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40"/>
      <c r="AA113" s="39"/>
      <c r="AB113" s="44"/>
      <c r="AC113" s="44"/>
      <c r="AD113" s="44"/>
      <c r="AE113" s="44"/>
      <c r="AF113" s="44"/>
      <c r="AG113" s="44"/>
      <c r="AH113" s="44"/>
      <c r="AI113" s="44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40"/>
      <c r="AA114" s="39"/>
      <c r="AB114" s="44"/>
      <c r="AC114" s="44"/>
      <c r="AD114" s="44"/>
      <c r="AE114" s="44"/>
      <c r="AF114" s="44"/>
      <c r="AG114" s="44"/>
      <c r="AH114" s="44"/>
      <c r="AI114" s="44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40"/>
      <c r="AA115" s="39"/>
      <c r="AB115" s="44"/>
      <c r="AC115" s="44"/>
      <c r="AD115" s="44"/>
      <c r="AE115" s="44"/>
      <c r="AF115" s="44"/>
      <c r="AG115" s="44"/>
      <c r="AH115" s="44"/>
      <c r="AI115" s="44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40"/>
      <c r="AA116" s="39"/>
      <c r="AB116" s="44"/>
      <c r="AC116" s="44"/>
      <c r="AD116" s="44"/>
      <c r="AE116" s="44"/>
      <c r="AF116" s="44"/>
      <c r="AG116" s="44"/>
      <c r="AH116" s="44"/>
      <c r="AI116" s="44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40"/>
      <c r="AA117" s="39"/>
      <c r="AB117" s="44"/>
      <c r="AC117" s="44"/>
      <c r="AD117" s="44"/>
      <c r="AE117" s="44"/>
      <c r="AF117" s="44"/>
      <c r="AG117" s="44"/>
      <c r="AH117" s="44"/>
      <c r="AI117" s="44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40"/>
      <c r="AA118" s="39"/>
      <c r="AB118" s="44"/>
      <c r="AC118" s="44"/>
      <c r="AD118" s="44"/>
      <c r="AE118" s="44"/>
      <c r="AF118" s="44"/>
      <c r="AG118" s="44"/>
      <c r="AH118" s="44"/>
      <c r="AI118" s="44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40"/>
      <c r="AA119" s="39"/>
      <c r="AB119" s="44"/>
      <c r="AC119" s="44"/>
      <c r="AD119" s="44"/>
      <c r="AE119" s="44"/>
      <c r="AF119" s="44"/>
      <c r="AG119" s="44"/>
      <c r="AH119" s="44"/>
      <c r="AI119" s="44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40"/>
      <c r="AA120" s="39"/>
      <c r="AB120" s="44"/>
      <c r="AC120" s="44"/>
      <c r="AD120" s="44"/>
      <c r="AE120" s="44"/>
      <c r="AF120" s="44"/>
      <c r="AG120" s="44"/>
      <c r="AH120" s="44"/>
      <c r="AI120" s="44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40"/>
      <c r="AA121" s="39"/>
      <c r="AB121" s="44"/>
      <c r="AC121" s="44"/>
      <c r="AD121" s="44"/>
      <c r="AE121" s="44"/>
      <c r="AF121" s="44"/>
      <c r="AG121" s="44"/>
      <c r="AH121" s="44"/>
      <c r="AI121" s="44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40"/>
      <c r="AA122" s="39"/>
      <c r="AB122" s="44"/>
      <c r="AC122" s="44"/>
      <c r="AD122" s="44"/>
      <c r="AE122" s="44"/>
      <c r="AF122" s="44"/>
      <c r="AG122" s="44"/>
      <c r="AH122" s="44"/>
      <c r="AI122" s="44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40"/>
      <c r="AA123" s="39"/>
      <c r="AB123" s="44"/>
      <c r="AC123" s="44"/>
      <c r="AD123" s="44"/>
      <c r="AE123" s="44"/>
      <c r="AF123" s="44"/>
      <c r="AG123" s="44"/>
      <c r="AH123" s="44"/>
      <c r="AI123" s="44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40"/>
      <c r="AA124" s="39"/>
      <c r="AB124" s="44"/>
      <c r="AC124" s="44"/>
      <c r="AD124" s="44"/>
      <c r="AE124" s="44"/>
      <c r="AF124" s="44"/>
      <c r="AG124" s="44"/>
      <c r="AH124" s="44"/>
      <c r="AI124" s="44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40"/>
      <c r="AA125" s="39"/>
      <c r="AB125" s="44"/>
      <c r="AC125" s="44"/>
      <c r="AD125" s="44"/>
      <c r="AE125" s="44"/>
      <c r="AF125" s="44"/>
      <c r="AG125" s="44"/>
      <c r="AH125" s="44"/>
      <c r="AI125" s="44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40"/>
      <c r="AA126" s="39"/>
      <c r="AB126" s="44"/>
      <c r="AC126" s="44"/>
      <c r="AD126" s="44"/>
      <c r="AE126" s="44"/>
      <c r="AF126" s="44"/>
      <c r="AG126" s="44"/>
      <c r="AH126" s="44"/>
      <c r="AI126" s="44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40"/>
      <c r="AA127" s="39"/>
      <c r="AB127" s="44"/>
      <c r="AC127" s="44"/>
      <c r="AD127" s="44"/>
      <c r="AE127" s="44"/>
      <c r="AF127" s="44"/>
      <c r="AG127" s="44"/>
      <c r="AH127" s="44"/>
      <c r="AI127" s="44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40"/>
      <c r="AA128" s="39"/>
      <c r="AB128" s="44"/>
      <c r="AC128" s="44"/>
      <c r="AD128" s="44"/>
      <c r="AE128" s="44"/>
      <c r="AF128" s="44"/>
      <c r="AG128" s="44"/>
      <c r="AH128" s="44"/>
      <c r="AI128" s="44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40"/>
      <c r="AA129" s="39"/>
      <c r="AB129" s="44"/>
      <c r="AC129" s="44"/>
      <c r="AD129" s="44"/>
      <c r="AE129" s="44"/>
      <c r="AF129" s="44"/>
      <c r="AG129" s="44"/>
      <c r="AH129" s="44"/>
      <c r="AI129" s="44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40"/>
      <c r="AA130" s="39"/>
      <c r="AB130" s="44"/>
      <c r="AC130" s="44"/>
      <c r="AD130" s="44"/>
      <c r="AE130" s="44"/>
      <c r="AF130" s="44"/>
      <c r="AG130" s="44"/>
      <c r="AH130" s="44"/>
      <c r="AI130" s="44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40"/>
      <c r="AA131" s="39"/>
      <c r="AB131" s="44"/>
      <c r="AC131" s="44"/>
      <c r="AD131" s="44"/>
      <c r="AE131" s="44"/>
      <c r="AF131" s="44"/>
      <c r="AG131" s="44"/>
      <c r="AH131" s="44"/>
      <c r="AI131" s="44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40"/>
      <c r="AA132" s="39"/>
      <c r="AB132" s="44"/>
      <c r="AC132" s="44"/>
      <c r="AD132" s="44"/>
      <c r="AE132" s="44"/>
      <c r="AF132" s="44"/>
      <c r="AG132" s="44"/>
      <c r="AH132" s="44"/>
      <c r="AI132" s="44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40"/>
      <c r="AA133" s="39"/>
      <c r="AB133" s="44"/>
      <c r="AC133" s="44"/>
      <c r="AD133" s="44"/>
      <c r="AE133" s="44"/>
      <c r="AF133" s="44"/>
      <c r="AG133" s="44"/>
      <c r="AH133" s="44"/>
      <c r="AI133" s="44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40"/>
      <c r="AA134" s="39"/>
      <c r="AB134" s="44"/>
      <c r="AC134" s="44"/>
      <c r="AD134" s="44"/>
      <c r="AE134" s="44"/>
      <c r="AF134" s="44"/>
      <c r="AG134" s="44"/>
      <c r="AH134" s="44"/>
      <c r="AI134" s="44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40"/>
      <c r="AA135" s="39"/>
      <c r="AB135" s="44"/>
      <c r="AC135" s="44"/>
      <c r="AD135" s="44"/>
      <c r="AE135" s="44"/>
      <c r="AF135" s="44"/>
      <c r="AG135" s="44"/>
      <c r="AH135" s="44"/>
      <c r="AI135" s="44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40"/>
      <c r="AA136" s="39"/>
      <c r="AB136" s="44"/>
      <c r="AC136" s="44"/>
      <c r="AD136" s="44"/>
      <c r="AE136" s="44"/>
      <c r="AF136" s="44"/>
      <c r="AG136" s="44"/>
      <c r="AH136" s="44"/>
      <c r="AI136" s="44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40"/>
      <c r="AA137" s="39"/>
      <c r="AB137" s="44"/>
      <c r="AC137" s="44"/>
      <c r="AD137" s="44"/>
      <c r="AE137" s="44"/>
      <c r="AF137" s="44"/>
      <c r="AG137" s="44"/>
      <c r="AH137" s="44"/>
      <c r="AI137" s="44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40"/>
      <c r="AA138" s="39"/>
      <c r="AB138" s="44"/>
      <c r="AC138" s="44"/>
      <c r="AD138" s="44"/>
      <c r="AE138" s="44"/>
      <c r="AF138" s="44"/>
      <c r="AG138" s="44"/>
      <c r="AH138" s="44"/>
      <c r="AI138" s="44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40"/>
      <c r="AA139" s="39"/>
      <c r="AB139" s="44"/>
      <c r="AC139" s="44"/>
      <c r="AD139" s="44"/>
      <c r="AE139" s="44"/>
      <c r="AF139" s="44"/>
      <c r="AG139" s="44"/>
      <c r="AH139" s="44"/>
      <c r="AI139" s="44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40"/>
      <c r="AA140" s="39"/>
      <c r="AB140" s="44"/>
      <c r="AC140" s="44"/>
      <c r="AD140" s="44"/>
      <c r="AE140" s="44"/>
      <c r="AF140" s="44"/>
      <c r="AG140" s="44"/>
      <c r="AH140" s="44"/>
      <c r="AI140" s="44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40"/>
      <c r="AA141" s="39"/>
      <c r="AB141" s="44"/>
      <c r="AC141" s="44"/>
      <c r="AD141" s="44"/>
      <c r="AE141" s="44"/>
      <c r="AF141" s="44"/>
      <c r="AG141" s="44"/>
      <c r="AH141" s="44"/>
      <c r="AI141" s="44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39"/>
      <c r="AB142" s="44"/>
      <c r="AC142" s="44"/>
      <c r="AD142" s="44"/>
      <c r="AE142" s="44"/>
      <c r="AF142" s="44"/>
      <c r="AG142" s="44"/>
      <c r="AH142" s="44"/>
      <c r="AI142" s="44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40"/>
      <c r="AA143" s="39"/>
      <c r="AB143" s="44"/>
      <c r="AC143" s="44"/>
      <c r="AD143" s="44"/>
      <c r="AE143" s="44"/>
      <c r="AF143" s="44"/>
      <c r="AG143" s="44"/>
      <c r="AH143" s="44"/>
      <c r="AI143" s="44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40"/>
      <c r="AA144" s="39"/>
      <c r="AB144" s="44"/>
      <c r="AC144" s="44"/>
      <c r="AD144" s="44"/>
      <c r="AE144" s="44"/>
      <c r="AF144" s="44"/>
      <c r="AG144" s="44"/>
      <c r="AH144" s="44"/>
      <c r="AI144" s="44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40"/>
      <c r="AA145" s="39"/>
      <c r="AB145" s="44"/>
      <c r="AC145" s="44"/>
      <c r="AD145" s="44"/>
      <c r="AE145" s="44"/>
      <c r="AF145" s="44"/>
      <c r="AG145" s="44"/>
      <c r="AH145" s="44"/>
      <c r="AI145" s="44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40"/>
      <c r="AA146" s="39"/>
      <c r="AB146" s="44"/>
      <c r="AC146" s="44"/>
      <c r="AD146" s="44"/>
      <c r="AE146" s="44"/>
      <c r="AF146" s="44"/>
      <c r="AG146" s="44"/>
      <c r="AH146" s="44"/>
      <c r="AI146" s="44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40"/>
      <c r="AA147" s="39"/>
      <c r="AB147" s="44"/>
      <c r="AC147" s="44"/>
      <c r="AD147" s="44"/>
      <c r="AE147" s="44"/>
      <c r="AF147" s="44"/>
      <c r="AG147" s="44"/>
      <c r="AH147" s="44"/>
      <c r="AI147" s="44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40"/>
      <c r="AA148" s="39"/>
      <c r="AB148" s="44"/>
      <c r="AC148" s="44"/>
      <c r="AD148" s="44"/>
      <c r="AE148" s="44"/>
      <c r="AF148" s="44"/>
      <c r="AG148" s="44"/>
      <c r="AH148" s="44"/>
      <c r="AI148" s="44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40"/>
      <c r="AA149" s="39"/>
      <c r="AB149" s="44"/>
      <c r="AC149" s="44"/>
      <c r="AD149" s="44"/>
      <c r="AE149" s="44"/>
      <c r="AF149" s="44"/>
      <c r="AG149" s="44"/>
      <c r="AH149" s="44"/>
      <c r="AI149" s="44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40"/>
      <c r="AA150" s="39"/>
      <c r="AB150" s="44"/>
      <c r="AC150" s="44"/>
      <c r="AD150" s="44"/>
      <c r="AE150" s="44"/>
      <c r="AF150" s="44"/>
      <c r="AG150" s="44"/>
      <c r="AH150" s="44"/>
      <c r="AI150" s="44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40"/>
      <c r="AA151" s="39"/>
      <c r="AB151" s="44"/>
      <c r="AC151" s="44"/>
      <c r="AD151" s="44"/>
      <c r="AE151" s="44"/>
      <c r="AF151" s="44"/>
      <c r="AG151" s="44"/>
      <c r="AH151" s="44"/>
      <c r="AI151" s="44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40"/>
      <c r="AA152" s="39"/>
      <c r="AB152" s="44"/>
      <c r="AC152" s="44"/>
      <c r="AD152" s="44"/>
      <c r="AE152" s="44"/>
      <c r="AF152" s="44"/>
      <c r="AG152" s="44"/>
      <c r="AH152" s="44"/>
      <c r="AI152" s="44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40"/>
      <c r="AA153" s="39"/>
      <c r="AB153" s="44"/>
      <c r="AC153" s="44"/>
      <c r="AD153" s="44"/>
      <c r="AE153" s="44"/>
      <c r="AF153" s="44"/>
      <c r="AG153" s="44"/>
      <c r="AH153" s="44"/>
      <c r="AI153" s="44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40"/>
      <c r="AA154" s="39"/>
      <c r="AB154" s="44"/>
      <c r="AC154" s="44"/>
      <c r="AD154" s="44"/>
      <c r="AE154" s="44"/>
      <c r="AF154" s="44"/>
      <c r="AG154" s="44"/>
      <c r="AH154" s="44"/>
      <c r="AI154" s="44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40"/>
      <c r="AA155" s="39"/>
      <c r="AB155" s="44"/>
      <c r="AC155" s="44"/>
      <c r="AD155" s="44"/>
      <c r="AE155" s="44"/>
      <c r="AF155" s="44"/>
      <c r="AG155" s="44"/>
      <c r="AH155" s="44"/>
      <c r="AI155" s="44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40"/>
      <c r="AA156" s="39"/>
      <c r="AB156" s="44"/>
      <c r="AC156" s="44"/>
      <c r="AD156" s="44"/>
      <c r="AE156" s="44"/>
      <c r="AF156" s="44"/>
      <c r="AG156" s="44"/>
      <c r="AH156" s="44"/>
      <c r="AI156" s="44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40"/>
      <c r="AA157" s="39"/>
      <c r="AB157" s="44"/>
      <c r="AC157" s="44"/>
      <c r="AD157" s="44"/>
      <c r="AE157" s="44"/>
      <c r="AF157" s="44"/>
      <c r="AG157" s="44"/>
      <c r="AH157" s="44"/>
      <c r="AI157" s="44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40"/>
      <c r="AA158" s="39"/>
      <c r="AB158" s="44"/>
      <c r="AC158" s="44"/>
      <c r="AD158" s="44"/>
      <c r="AE158" s="44"/>
      <c r="AF158" s="44"/>
      <c r="AG158" s="44"/>
      <c r="AH158" s="44"/>
      <c r="AI158" s="44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40"/>
      <c r="AA159" s="39"/>
      <c r="AB159" s="44"/>
      <c r="AC159" s="44"/>
      <c r="AD159" s="44"/>
      <c r="AE159" s="44"/>
      <c r="AF159" s="44"/>
      <c r="AG159" s="44"/>
      <c r="AH159" s="44"/>
      <c r="AI159" s="44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40"/>
      <c r="AA160" s="39"/>
      <c r="AB160" s="44"/>
      <c r="AC160" s="44"/>
      <c r="AD160" s="44"/>
      <c r="AE160" s="44"/>
      <c r="AF160" s="44"/>
      <c r="AG160" s="44"/>
      <c r="AH160" s="44"/>
      <c r="AI160" s="44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40"/>
      <c r="AA161" s="39"/>
      <c r="AB161" s="44"/>
      <c r="AC161" s="44"/>
      <c r="AD161" s="44"/>
      <c r="AE161" s="44"/>
      <c r="AF161" s="44"/>
      <c r="AG161" s="44"/>
      <c r="AH161" s="44"/>
      <c r="AI161" s="44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40"/>
      <c r="AA162" s="39"/>
      <c r="AB162" s="44"/>
      <c r="AC162" s="44"/>
      <c r="AD162" s="44"/>
      <c r="AE162" s="44"/>
      <c r="AF162" s="44"/>
      <c r="AG162" s="44"/>
      <c r="AH162" s="44"/>
      <c r="AI162" s="44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40"/>
      <c r="AA163" s="39"/>
      <c r="AB163" s="44"/>
      <c r="AC163" s="44"/>
      <c r="AD163" s="44"/>
      <c r="AE163" s="44"/>
      <c r="AF163" s="44"/>
      <c r="AG163" s="44"/>
      <c r="AH163" s="44"/>
      <c r="AI163" s="44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40"/>
      <c r="AA164" s="39"/>
      <c r="AB164" s="44"/>
      <c r="AC164" s="44"/>
      <c r="AD164" s="44"/>
      <c r="AE164" s="44"/>
      <c r="AF164" s="44"/>
      <c r="AG164" s="44"/>
      <c r="AH164" s="44"/>
      <c r="AI164" s="44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40"/>
      <c r="AA165" s="39"/>
      <c r="AB165" s="44"/>
      <c r="AC165" s="44"/>
      <c r="AD165" s="44"/>
      <c r="AE165" s="44"/>
      <c r="AF165" s="44"/>
      <c r="AG165" s="44"/>
      <c r="AH165" s="44"/>
      <c r="AI165" s="44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40"/>
      <c r="AA166" s="39"/>
      <c r="AB166" s="44"/>
      <c r="AC166" s="44"/>
      <c r="AD166" s="44"/>
      <c r="AE166" s="44"/>
      <c r="AF166" s="44"/>
      <c r="AG166" s="44"/>
      <c r="AH166" s="44"/>
      <c r="AI166" s="44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40"/>
      <c r="AA167" s="39"/>
      <c r="AB167" s="44"/>
      <c r="AC167" s="44"/>
      <c r="AD167" s="44"/>
      <c r="AE167" s="44"/>
      <c r="AF167" s="44"/>
      <c r="AG167" s="44"/>
      <c r="AH167" s="44"/>
      <c r="AI167" s="44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40"/>
      <c r="AA168" s="39"/>
      <c r="AB168" s="44"/>
      <c r="AC168" s="44"/>
      <c r="AD168" s="44"/>
      <c r="AE168" s="44"/>
      <c r="AF168" s="44"/>
      <c r="AG168" s="44"/>
      <c r="AH168" s="44"/>
      <c r="AI168" s="44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40"/>
      <c r="AA169" s="39"/>
      <c r="AB169" s="44"/>
      <c r="AC169" s="44"/>
      <c r="AD169" s="44"/>
      <c r="AE169" s="44"/>
      <c r="AF169" s="44"/>
      <c r="AG169" s="44"/>
      <c r="AH169" s="44"/>
      <c r="AI169" s="44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40"/>
      <c r="AA170" s="39"/>
      <c r="AB170" s="44"/>
      <c r="AC170" s="44"/>
      <c r="AD170" s="44"/>
      <c r="AE170" s="44"/>
      <c r="AF170" s="44"/>
      <c r="AG170" s="44"/>
      <c r="AH170" s="44"/>
      <c r="AI170" s="44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40"/>
      <c r="AA171" s="39"/>
      <c r="AB171" s="44"/>
      <c r="AC171" s="44"/>
      <c r="AD171" s="44"/>
      <c r="AE171" s="44"/>
      <c r="AF171" s="44"/>
      <c r="AG171" s="44"/>
      <c r="AH171" s="44"/>
      <c r="AI171" s="44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40"/>
      <c r="AA172" s="39"/>
      <c r="AB172" s="44"/>
      <c r="AC172" s="44"/>
      <c r="AD172" s="44"/>
      <c r="AE172" s="44"/>
      <c r="AF172" s="44"/>
      <c r="AG172" s="44"/>
      <c r="AH172" s="44"/>
      <c r="AI172" s="44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40"/>
      <c r="AA173" s="39"/>
      <c r="AB173" s="44"/>
      <c r="AC173" s="44"/>
      <c r="AD173" s="44"/>
      <c r="AE173" s="44"/>
      <c r="AF173" s="44"/>
      <c r="AG173" s="44"/>
      <c r="AH173" s="44"/>
      <c r="AI173" s="44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40"/>
      <c r="AA174" s="39"/>
      <c r="AB174" s="44"/>
      <c r="AC174" s="44"/>
      <c r="AD174" s="44"/>
      <c r="AE174" s="44"/>
      <c r="AF174" s="44"/>
      <c r="AG174" s="44"/>
      <c r="AH174" s="44"/>
      <c r="AI174" s="44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40"/>
      <c r="AA175" s="39"/>
      <c r="AB175" s="44"/>
      <c r="AC175" s="44"/>
      <c r="AD175" s="44"/>
      <c r="AE175" s="44"/>
      <c r="AF175" s="44"/>
      <c r="AG175" s="44"/>
      <c r="AH175" s="44"/>
      <c r="AI175" s="44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40"/>
      <c r="AA176" s="39"/>
      <c r="AB176" s="44"/>
      <c r="AC176" s="44"/>
      <c r="AD176" s="44"/>
      <c r="AE176" s="44"/>
      <c r="AF176" s="44"/>
      <c r="AG176" s="44"/>
      <c r="AH176" s="44"/>
      <c r="AI176" s="44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40"/>
      <c r="AA177" s="39"/>
      <c r="AB177" s="44"/>
      <c r="AC177" s="44"/>
      <c r="AD177" s="44"/>
      <c r="AE177" s="44"/>
      <c r="AF177" s="44"/>
      <c r="AG177" s="44"/>
      <c r="AH177" s="44"/>
      <c r="AI177" s="44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40"/>
      <c r="AA178" s="39"/>
      <c r="AB178" s="44"/>
      <c r="AC178" s="44"/>
      <c r="AD178" s="44"/>
      <c r="AE178" s="44"/>
      <c r="AF178" s="44"/>
      <c r="AG178" s="44"/>
      <c r="AH178" s="44"/>
      <c r="AI178" s="44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40"/>
      <c r="AA179" s="39"/>
      <c r="AB179" s="44"/>
      <c r="AC179" s="44"/>
      <c r="AD179" s="44"/>
      <c r="AE179" s="44"/>
      <c r="AF179" s="44"/>
      <c r="AG179" s="44"/>
      <c r="AH179" s="44"/>
      <c r="AI179" s="44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39"/>
      <c r="AB180" s="44"/>
      <c r="AC180" s="44"/>
      <c r="AD180" s="44"/>
      <c r="AE180" s="44"/>
      <c r="AF180" s="44"/>
      <c r="AG180" s="44"/>
      <c r="AH180" s="44"/>
      <c r="AI180" s="44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40"/>
      <c r="AA181" s="39"/>
      <c r="AB181" s="44"/>
      <c r="AC181" s="44"/>
      <c r="AD181" s="44"/>
      <c r="AE181" s="44"/>
      <c r="AF181" s="44"/>
      <c r="AG181" s="44"/>
      <c r="AH181" s="44"/>
      <c r="AI181" s="44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40"/>
      <c r="AA182" s="39"/>
      <c r="AB182" s="44"/>
      <c r="AC182" s="44"/>
      <c r="AD182" s="44"/>
      <c r="AE182" s="44"/>
      <c r="AF182" s="44"/>
      <c r="AG182" s="44"/>
      <c r="AH182" s="44"/>
      <c r="AI182" s="44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40"/>
      <c r="AA183" s="39"/>
      <c r="AB183" s="44"/>
      <c r="AC183" s="44"/>
      <c r="AD183" s="44"/>
      <c r="AE183" s="44"/>
      <c r="AF183" s="44"/>
      <c r="AG183" s="44"/>
      <c r="AH183" s="44"/>
      <c r="AI183" s="44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40"/>
      <c r="AA184" s="39"/>
      <c r="AB184" s="44"/>
      <c r="AC184" s="44"/>
      <c r="AD184" s="44"/>
      <c r="AE184" s="44"/>
      <c r="AF184" s="44"/>
      <c r="AG184" s="44"/>
      <c r="AH184" s="44"/>
      <c r="AI184" s="44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40"/>
      <c r="AA185" s="39"/>
      <c r="AB185" s="44"/>
      <c r="AC185" s="44"/>
      <c r="AD185" s="44"/>
      <c r="AE185" s="44"/>
      <c r="AF185" s="44"/>
      <c r="AG185" s="44"/>
      <c r="AH185" s="44"/>
      <c r="AI185" s="44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40"/>
      <c r="AA186" s="39"/>
      <c r="AB186" s="44"/>
      <c r="AC186" s="44"/>
      <c r="AD186" s="44"/>
      <c r="AE186" s="44"/>
      <c r="AF186" s="44"/>
      <c r="AG186" s="44"/>
      <c r="AH186" s="44"/>
      <c r="AI186" s="44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40"/>
      <c r="AA187" s="39"/>
      <c r="AB187" s="44"/>
      <c r="AC187" s="44"/>
      <c r="AD187" s="44"/>
      <c r="AE187" s="44"/>
      <c r="AF187" s="44"/>
      <c r="AG187" s="44"/>
      <c r="AH187" s="44"/>
      <c r="AI187" s="44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40"/>
      <c r="AA188" s="39"/>
      <c r="AB188" s="44"/>
      <c r="AC188" s="44"/>
      <c r="AD188" s="44"/>
      <c r="AE188" s="44"/>
      <c r="AF188" s="44"/>
      <c r="AG188" s="44"/>
      <c r="AH188" s="44"/>
      <c r="AI188" s="44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40"/>
      <c r="AA189" s="39"/>
      <c r="AB189" s="44"/>
      <c r="AC189" s="44"/>
      <c r="AD189" s="44"/>
      <c r="AE189" s="44"/>
      <c r="AF189" s="44"/>
      <c r="AG189" s="44"/>
      <c r="AH189" s="44"/>
      <c r="AI189" s="44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40"/>
      <c r="AA190" s="39"/>
      <c r="AB190" s="44"/>
      <c r="AC190" s="44"/>
      <c r="AD190" s="44"/>
      <c r="AE190" s="44"/>
      <c r="AF190" s="44"/>
      <c r="AG190" s="44"/>
      <c r="AH190" s="44"/>
      <c r="AI190" s="44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40"/>
      <c r="AA191" s="39"/>
      <c r="AB191" s="44"/>
      <c r="AC191" s="44"/>
      <c r="AD191" s="44"/>
      <c r="AE191" s="44"/>
      <c r="AF191" s="44"/>
      <c r="AG191" s="44"/>
      <c r="AH191" s="44"/>
      <c r="AI191" s="44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40"/>
      <c r="AA192" s="39"/>
      <c r="AB192" s="44"/>
      <c r="AC192" s="44"/>
      <c r="AD192" s="44"/>
      <c r="AE192" s="44"/>
      <c r="AF192" s="44"/>
      <c r="AG192" s="44"/>
      <c r="AH192" s="44"/>
      <c r="AI192" s="44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40"/>
      <c r="AA193" s="39"/>
      <c r="AB193" s="44"/>
      <c r="AC193" s="44"/>
      <c r="AD193" s="44"/>
      <c r="AE193" s="44"/>
      <c r="AF193" s="44"/>
      <c r="AG193" s="44"/>
      <c r="AH193" s="44"/>
      <c r="AI193" s="44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40"/>
      <c r="AA194" s="39"/>
      <c r="AB194" s="44"/>
      <c r="AC194" s="44"/>
      <c r="AD194" s="44"/>
      <c r="AE194" s="44"/>
      <c r="AF194" s="44"/>
      <c r="AG194" s="44"/>
      <c r="AH194" s="44"/>
      <c r="AI194" s="44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40"/>
      <c r="AA195" s="39"/>
      <c r="AB195" s="44"/>
      <c r="AC195" s="44"/>
      <c r="AD195" s="44"/>
      <c r="AE195" s="44"/>
      <c r="AF195" s="44"/>
      <c r="AG195" s="44"/>
      <c r="AH195" s="44"/>
      <c r="AI195" s="44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40"/>
      <c r="AA196" s="39"/>
      <c r="AB196" s="44"/>
      <c r="AC196" s="44"/>
      <c r="AD196" s="44"/>
      <c r="AE196" s="44"/>
      <c r="AF196" s="44"/>
      <c r="AG196" s="44"/>
      <c r="AH196" s="44"/>
      <c r="AI196" s="44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40"/>
      <c r="AA197" s="39"/>
      <c r="AB197" s="44"/>
      <c r="AC197" s="44"/>
      <c r="AD197" s="44"/>
      <c r="AE197" s="44"/>
      <c r="AF197" s="44"/>
      <c r="AG197" s="44"/>
      <c r="AH197" s="44"/>
      <c r="AI197" s="44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40"/>
      <c r="AA198" s="39"/>
      <c r="AB198" s="44"/>
      <c r="AC198" s="44"/>
      <c r="AD198" s="44"/>
      <c r="AE198" s="44"/>
      <c r="AF198" s="44"/>
      <c r="AG198" s="44"/>
      <c r="AH198" s="44"/>
      <c r="AI198" s="44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40"/>
      <c r="AA199" s="39"/>
      <c r="AB199" s="44"/>
      <c r="AC199" s="44"/>
      <c r="AD199" s="44"/>
      <c r="AE199" s="44"/>
      <c r="AF199" s="44"/>
      <c r="AG199" s="44"/>
      <c r="AH199" s="44"/>
      <c r="AI199" s="44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40"/>
      <c r="AA200" s="39"/>
      <c r="AB200" s="44"/>
      <c r="AC200" s="44"/>
      <c r="AD200" s="44"/>
      <c r="AE200" s="44"/>
      <c r="AF200" s="44"/>
      <c r="AG200" s="44"/>
      <c r="AH200" s="44"/>
      <c r="AI200" s="44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40"/>
      <c r="AA201" s="39"/>
      <c r="AB201" s="44"/>
      <c r="AC201" s="44"/>
      <c r="AD201" s="44"/>
      <c r="AE201" s="44"/>
      <c r="AF201" s="44"/>
      <c r="AG201" s="44"/>
      <c r="AH201" s="44"/>
      <c r="AI201" s="44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40"/>
      <c r="AA202" s="39"/>
      <c r="AB202" s="44"/>
      <c r="AC202" s="44"/>
      <c r="AD202" s="44"/>
      <c r="AE202" s="44"/>
      <c r="AF202" s="44"/>
      <c r="AG202" s="44"/>
      <c r="AH202" s="44"/>
      <c r="AI202" s="44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40"/>
      <c r="AA203" s="39"/>
      <c r="AB203" s="44"/>
      <c r="AC203" s="44"/>
      <c r="AD203" s="44"/>
      <c r="AE203" s="44"/>
      <c r="AF203" s="44"/>
      <c r="AG203" s="44"/>
      <c r="AH203" s="44"/>
      <c r="AI203" s="44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40"/>
      <c r="AA204" s="39"/>
      <c r="AB204" s="44"/>
      <c r="AC204" s="44"/>
      <c r="AD204" s="44"/>
      <c r="AE204" s="44"/>
      <c r="AF204" s="44"/>
      <c r="AG204" s="44"/>
      <c r="AH204" s="44"/>
      <c r="AI204" s="44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40"/>
      <c r="AA205" s="39"/>
      <c r="AB205" s="44"/>
      <c r="AC205" s="44"/>
      <c r="AD205" s="44"/>
      <c r="AE205" s="44"/>
      <c r="AF205" s="44"/>
      <c r="AG205" s="44"/>
      <c r="AH205" s="44"/>
      <c r="AI205" s="44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40"/>
      <c r="AA206" s="39"/>
      <c r="AB206" s="44"/>
      <c r="AC206" s="44"/>
      <c r="AD206" s="44"/>
      <c r="AE206" s="44"/>
      <c r="AF206" s="44"/>
      <c r="AG206" s="44"/>
      <c r="AH206" s="44"/>
      <c r="AI206" s="44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40"/>
      <c r="AA207" s="39"/>
      <c r="AB207" s="44"/>
      <c r="AC207" s="44"/>
      <c r="AD207" s="44"/>
      <c r="AE207" s="44"/>
      <c r="AF207" s="44"/>
      <c r="AG207" s="44"/>
      <c r="AH207" s="44"/>
      <c r="AI207" s="44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40"/>
      <c r="AA208" s="39"/>
      <c r="AB208" s="44"/>
      <c r="AC208" s="44"/>
      <c r="AD208" s="44"/>
      <c r="AE208" s="44"/>
      <c r="AF208" s="44"/>
      <c r="AG208" s="44"/>
      <c r="AH208" s="44"/>
      <c r="AI208" s="44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40"/>
      <c r="AA209" s="39"/>
      <c r="AB209" s="44"/>
      <c r="AC209" s="44"/>
      <c r="AD209" s="44"/>
      <c r="AE209" s="44"/>
      <c r="AF209" s="44"/>
      <c r="AG209" s="44"/>
      <c r="AH209" s="44"/>
      <c r="AI209" s="44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40"/>
      <c r="AA210" s="39"/>
      <c r="AB210" s="44"/>
      <c r="AC210" s="44"/>
      <c r="AD210" s="44"/>
      <c r="AE210" s="44"/>
      <c r="AF210" s="44"/>
      <c r="AG210" s="44"/>
      <c r="AH210" s="44"/>
      <c r="AI210" s="44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40"/>
      <c r="AA211" s="39"/>
      <c r="AB211" s="44"/>
      <c r="AC211" s="44"/>
      <c r="AD211" s="44"/>
      <c r="AE211" s="44"/>
      <c r="AF211" s="44"/>
      <c r="AG211" s="44"/>
      <c r="AH211" s="44"/>
      <c r="AI211" s="44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40"/>
      <c r="AA212" s="39"/>
      <c r="AB212" s="44"/>
      <c r="AC212" s="44"/>
      <c r="AD212" s="44"/>
      <c r="AE212" s="44"/>
      <c r="AF212" s="44"/>
      <c r="AG212" s="44"/>
      <c r="AH212" s="44"/>
      <c r="AI212" s="44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40"/>
      <c r="AA213" s="39"/>
      <c r="AB213" s="44"/>
      <c r="AC213" s="44"/>
      <c r="AD213" s="44"/>
      <c r="AE213" s="44"/>
      <c r="AF213" s="44"/>
      <c r="AG213" s="44"/>
      <c r="AH213" s="44"/>
      <c r="AI213" s="44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40"/>
      <c r="AA214" s="39"/>
      <c r="AB214" s="44"/>
      <c r="AC214" s="44"/>
      <c r="AD214" s="44"/>
      <c r="AE214" s="44"/>
      <c r="AF214" s="44"/>
      <c r="AG214" s="44"/>
      <c r="AH214" s="44"/>
      <c r="AI214" s="44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40"/>
      <c r="AA215" s="39"/>
      <c r="AB215" s="44"/>
      <c r="AC215" s="44"/>
      <c r="AD215" s="44"/>
      <c r="AE215" s="44"/>
      <c r="AF215" s="44"/>
      <c r="AG215" s="44"/>
      <c r="AH215" s="44"/>
      <c r="AI215" s="44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40"/>
      <c r="AA216" s="39"/>
      <c r="AB216" s="44"/>
      <c r="AC216" s="44"/>
      <c r="AD216" s="44"/>
      <c r="AE216" s="44"/>
      <c r="AF216" s="44"/>
      <c r="AG216" s="44"/>
      <c r="AH216" s="44"/>
      <c r="AI216" s="44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40"/>
      <c r="AA217" s="39"/>
      <c r="AB217" s="44"/>
      <c r="AC217" s="44"/>
      <c r="AD217" s="44"/>
      <c r="AE217" s="44"/>
      <c r="AF217" s="44"/>
      <c r="AG217" s="44"/>
      <c r="AH217" s="44"/>
      <c r="AI217" s="44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39"/>
      <c r="AB218" s="44"/>
      <c r="AC218" s="44"/>
      <c r="AD218" s="44"/>
      <c r="AE218" s="44"/>
      <c r="AF218" s="44"/>
      <c r="AG218" s="44"/>
      <c r="AH218" s="44"/>
      <c r="AI218" s="44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40"/>
      <c r="AA219" s="39"/>
      <c r="AB219" s="44"/>
      <c r="AC219" s="44"/>
      <c r="AD219" s="44"/>
      <c r="AE219" s="44"/>
      <c r="AF219" s="44"/>
      <c r="AG219" s="44"/>
      <c r="AH219" s="44"/>
      <c r="AI219" s="44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40"/>
      <c r="AA220" s="39"/>
      <c r="AB220" s="44"/>
      <c r="AC220" s="44"/>
      <c r="AD220" s="44"/>
      <c r="AE220" s="44"/>
      <c r="AF220" s="44"/>
      <c r="AG220" s="44"/>
      <c r="AH220" s="44"/>
      <c r="AI220" s="44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40"/>
      <c r="AA221" s="39"/>
      <c r="AB221" s="44"/>
      <c r="AC221" s="44"/>
      <c r="AD221" s="44"/>
      <c r="AE221" s="44"/>
      <c r="AF221" s="44"/>
      <c r="AG221" s="44"/>
      <c r="AH221" s="44"/>
      <c r="AI221" s="44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40"/>
      <c r="AA222" s="39"/>
      <c r="AB222" s="44"/>
      <c r="AC222" s="44"/>
      <c r="AD222" s="44"/>
      <c r="AE222" s="44"/>
      <c r="AF222" s="44"/>
      <c r="AG222" s="44"/>
      <c r="AH222" s="44"/>
      <c r="AI222" s="44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40"/>
      <c r="AA223" s="39"/>
      <c r="AB223" s="44"/>
      <c r="AC223" s="44"/>
      <c r="AD223" s="44"/>
      <c r="AE223" s="44"/>
      <c r="AF223" s="44"/>
      <c r="AG223" s="44"/>
      <c r="AH223" s="44"/>
      <c r="AI223" s="44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40"/>
      <c r="AA224" s="39"/>
      <c r="AB224" s="44"/>
      <c r="AC224" s="44"/>
      <c r="AD224" s="44"/>
      <c r="AE224" s="44"/>
      <c r="AF224" s="44"/>
      <c r="AG224" s="44"/>
      <c r="AH224" s="44"/>
      <c r="AI224" s="44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40"/>
      <c r="AA225" s="39"/>
      <c r="AB225" s="44"/>
      <c r="AC225" s="44"/>
      <c r="AD225" s="44"/>
      <c r="AE225" s="44"/>
      <c r="AF225" s="44"/>
      <c r="AG225" s="44"/>
      <c r="AH225" s="44"/>
      <c r="AI225" s="44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40"/>
      <c r="AA226" s="39"/>
      <c r="AB226" s="44"/>
      <c r="AC226" s="44"/>
      <c r="AD226" s="44"/>
      <c r="AE226" s="44"/>
      <c r="AF226" s="44"/>
      <c r="AG226" s="44"/>
      <c r="AH226" s="44"/>
      <c r="AI226" s="44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40"/>
      <c r="AA227" s="39"/>
      <c r="AB227" s="44"/>
      <c r="AC227" s="44"/>
      <c r="AD227" s="44"/>
      <c r="AE227" s="44"/>
      <c r="AF227" s="44"/>
      <c r="AG227" s="44"/>
      <c r="AH227" s="44"/>
      <c r="AI227" s="44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40"/>
      <c r="AA228" s="39"/>
      <c r="AB228" s="44"/>
      <c r="AC228" s="44"/>
      <c r="AD228" s="44"/>
      <c r="AE228" s="44"/>
      <c r="AF228" s="44"/>
      <c r="AG228" s="44"/>
      <c r="AH228" s="44"/>
      <c r="AI228" s="44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40"/>
      <c r="AA229" s="39"/>
      <c r="AB229" s="44"/>
      <c r="AC229" s="44"/>
      <c r="AD229" s="44"/>
      <c r="AE229" s="44"/>
      <c r="AF229" s="44"/>
      <c r="AG229" s="44"/>
      <c r="AH229" s="44"/>
      <c r="AI229" s="44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40"/>
      <c r="AA230" s="39"/>
      <c r="AB230" s="44"/>
      <c r="AC230" s="44"/>
      <c r="AD230" s="44"/>
      <c r="AE230" s="44"/>
      <c r="AF230" s="44"/>
      <c r="AG230" s="44"/>
      <c r="AH230" s="44"/>
      <c r="AI230" s="44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40"/>
      <c r="AA231" s="39"/>
      <c r="AB231" s="44"/>
      <c r="AC231" s="44"/>
      <c r="AD231" s="44"/>
      <c r="AE231" s="44"/>
      <c r="AF231" s="44"/>
      <c r="AG231" s="44"/>
      <c r="AH231" s="44"/>
      <c r="AI231" s="44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40"/>
      <c r="AA232" s="39"/>
      <c r="AB232" s="44"/>
      <c r="AC232" s="44"/>
      <c r="AD232" s="44"/>
      <c r="AE232" s="44"/>
      <c r="AF232" s="44"/>
      <c r="AG232" s="44"/>
      <c r="AH232" s="44"/>
      <c r="AI232" s="44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40"/>
      <c r="AA233" s="39"/>
      <c r="AB233" s="44"/>
      <c r="AC233" s="44"/>
      <c r="AD233" s="44"/>
      <c r="AE233" s="44"/>
      <c r="AF233" s="44"/>
      <c r="AG233" s="44"/>
      <c r="AH233" s="44"/>
      <c r="AI233" s="44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40"/>
      <c r="AA234" s="39"/>
      <c r="AB234" s="44"/>
      <c r="AC234" s="44"/>
      <c r="AD234" s="44"/>
      <c r="AE234" s="44"/>
      <c r="AF234" s="44"/>
      <c r="AG234" s="44"/>
      <c r="AH234" s="44"/>
      <c r="AI234" s="44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40"/>
      <c r="AA235" s="39"/>
      <c r="AB235" s="44"/>
      <c r="AC235" s="44"/>
      <c r="AD235" s="44"/>
      <c r="AE235" s="44"/>
      <c r="AF235" s="44"/>
      <c r="AG235" s="44"/>
      <c r="AH235" s="44"/>
      <c r="AI235" s="44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40"/>
      <c r="AA236" s="39"/>
      <c r="AB236" s="44"/>
      <c r="AC236" s="44"/>
      <c r="AD236" s="44"/>
      <c r="AE236" s="44"/>
      <c r="AF236" s="44"/>
      <c r="AG236" s="44"/>
      <c r="AH236" s="44"/>
      <c r="AI236" s="44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40"/>
      <c r="AA237" s="39"/>
      <c r="AB237" s="44"/>
      <c r="AC237" s="44"/>
      <c r="AD237" s="44"/>
      <c r="AE237" s="44"/>
      <c r="AF237" s="44"/>
      <c r="AG237" s="44"/>
      <c r="AH237" s="44"/>
      <c r="AI237" s="44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40"/>
      <c r="AA238" s="39"/>
      <c r="AB238" s="44"/>
      <c r="AC238" s="44"/>
      <c r="AD238" s="44"/>
      <c r="AE238" s="44"/>
      <c r="AF238" s="44"/>
      <c r="AG238" s="44"/>
      <c r="AH238" s="44"/>
      <c r="AI238" s="44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40"/>
      <c r="AA239" s="39"/>
      <c r="AB239" s="44"/>
      <c r="AC239" s="44"/>
      <c r="AD239" s="44"/>
      <c r="AE239" s="44"/>
      <c r="AF239" s="44"/>
      <c r="AG239" s="44"/>
      <c r="AH239" s="44"/>
      <c r="AI239" s="44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40"/>
      <c r="AA240" s="39"/>
      <c r="AB240" s="44"/>
      <c r="AC240" s="44"/>
      <c r="AD240" s="44"/>
      <c r="AE240" s="44"/>
      <c r="AF240" s="44"/>
      <c r="AG240" s="44"/>
      <c r="AH240" s="44"/>
      <c r="AI240" s="44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40"/>
      <c r="AA241" s="39"/>
      <c r="AB241" s="44"/>
      <c r="AC241" s="44"/>
      <c r="AD241" s="44"/>
      <c r="AE241" s="44"/>
      <c r="AF241" s="44"/>
      <c r="AG241" s="44"/>
      <c r="AH241" s="44"/>
      <c r="AI241" s="44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40"/>
      <c r="AA242" s="39"/>
      <c r="AB242" s="44"/>
      <c r="AC242" s="44"/>
      <c r="AD242" s="44"/>
      <c r="AE242" s="44"/>
      <c r="AF242" s="44"/>
      <c r="AG242" s="44"/>
      <c r="AH242" s="44"/>
      <c r="AI242" s="44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40"/>
      <c r="AA243" s="39"/>
      <c r="AB243" s="44"/>
      <c r="AC243" s="44"/>
      <c r="AD243" s="44"/>
      <c r="AE243" s="44"/>
      <c r="AF243" s="44"/>
      <c r="AG243" s="44"/>
      <c r="AH243" s="44"/>
      <c r="AI243" s="44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40"/>
      <c r="AA244" s="39"/>
      <c r="AB244" s="44"/>
      <c r="AC244" s="44"/>
      <c r="AD244" s="44"/>
      <c r="AE244" s="44"/>
      <c r="AF244" s="44"/>
      <c r="AG244" s="44"/>
      <c r="AH244" s="44"/>
      <c r="AI244" s="44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40"/>
      <c r="AA245" s="39"/>
      <c r="AB245" s="44"/>
      <c r="AC245" s="44"/>
      <c r="AD245" s="44"/>
      <c r="AE245" s="44"/>
      <c r="AF245" s="44"/>
      <c r="AG245" s="44"/>
      <c r="AH245" s="44"/>
      <c r="AI245" s="44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40"/>
      <c r="AA246" s="39"/>
      <c r="AB246" s="44"/>
      <c r="AC246" s="44"/>
      <c r="AD246" s="44"/>
      <c r="AE246" s="44"/>
      <c r="AF246" s="44"/>
      <c r="AG246" s="44"/>
      <c r="AH246" s="44"/>
      <c r="AI246" s="44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40"/>
      <c r="AA247" s="39"/>
      <c r="AB247" s="44"/>
      <c r="AC247" s="44"/>
      <c r="AD247" s="44"/>
      <c r="AE247" s="44"/>
      <c r="AF247" s="44"/>
      <c r="AG247" s="44"/>
      <c r="AH247" s="44"/>
      <c r="AI247" s="44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40"/>
      <c r="AA248" s="39"/>
      <c r="AB248" s="44"/>
      <c r="AC248" s="44"/>
      <c r="AD248" s="44"/>
      <c r="AE248" s="44"/>
      <c r="AF248" s="44"/>
      <c r="AG248" s="44"/>
      <c r="AH248" s="44"/>
      <c r="AI248" s="44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40"/>
      <c r="AA249" s="39"/>
      <c r="AB249" s="44"/>
      <c r="AC249" s="44"/>
      <c r="AD249" s="44"/>
      <c r="AE249" s="44"/>
      <c r="AF249" s="44"/>
      <c r="AG249" s="44"/>
      <c r="AH249" s="44"/>
      <c r="AI249" s="44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40"/>
      <c r="AA250" s="39"/>
      <c r="AB250" s="44"/>
      <c r="AC250" s="44"/>
      <c r="AD250" s="44"/>
      <c r="AE250" s="44"/>
      <c r="AF250" s="44"/>
      <c r="AG250" s="44"/>
      <c r="AH250" s="44"/>
      <c r="AI250" s="44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40"/>
      <c r="AA251" s="39"/>
      <c r="AB251" s="44"/>
      <c r="AC251" s="44"/>
      <c r="AD251" s="44"/>
      <c r="AE251" s="44"/>
      <c r="AF251" s="44"/>
      <c r="AG251" s="44"/>
      <c r="AH251" s="44"/>
      <c r="AI251" s="44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40"/>
      <c r="AA252" s="39"/>
      <c r="AB252" s="44"/>
      <c r="AC252" s="44"/>
      <c r="AD252" s="44"/>
      <c r="AE252" s="44"/>
      <c r="AF252" s="44"/>
      <c r="AG252" s="44"/>
      <c r="AH252" s="44"/>
      <c r="AI252" s="44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40"/>
      <c r="AA253" s="39"/>
      <c r="AB253" s="44"/>
      <c r="AC253" s="44"/>
      <c r="AD253" s="44"/>
      <c r="AE253" s="44"/>
      <c r="AF253" s="44"/>
      <c r="AG253" s="44"/>
      <c r="AH253" s="44"/>
      <c r="AI253" s="44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40"/>
      <c r="AA254" s="39"/>
      <c r="AB254" s="44"/>
      <c r="AC254" s="44"/>
      <c r="AD254" s="44"/>
      <c r="AE254" s="44"/>
      <c r="AF254" s="44"/>
      <c r="AG254" s="44"/>
      <c r="AH254" s="44"/>
      <c r="AI254" s="44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40"/>
      <c r="AA255" s="39"/>
      <c r="AB255" s="44"/>
      <c r="AC255" s="44"/>
      <c r="AD255" s="44"/>
      <c r="AE255" s="44"/>
      <c r="AF255" s="44"/>
      <c r="AG255" s="44"/>
      <c r="AH255" s="44"/>
      <c r="AI255" s="44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39"/>
      <c r="AB256" s="44"/>
      <c r="AC256" s="44"/>
      <c r="AD256" s="44"/>
      <c r="AE256" s="44"/>
      <c r="AF256" s="44"/>
      <c r="AG256" s="44"/>
      <c r="AH256" s="44"/>
      <c r="AI256" s="44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40"/>
      <c r="AA257" s="39"/>
      <c r="AB257" s="44"/>
      <c r="AC257" s="44"/>
      <c r="AD257" s="44"/>
      <c r="AE257" s="44"/>
      <c r="AF257" s="44"/>
      <c r="AG257" s="44"/>
      <c r="AH257" s="44"/>
      <c r="AI257" s="44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40"/>
      <c r="AA258" s="39"/>
      <c r="AB258" s="44"/>
      <c r="AC258" s="44"/>
      <c r="AD258" s="44"/>
      <c r="AE258" s="44"/>
      <c r="AF258" s="44"/>
      <c r="AG258" s="44"/>
      <c r="AH258" s="44"/>
      <c r="AI258" s="44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40"/>
      <c r="AA259" s="39"/>
      <c r="AB259" s="44"/>
      <c r="AC259" s="44"/>
      <c r="AD259" s="44"/>
      <c r="AE259" s="44"/>
      <c r="AF259" s="44"/>
      <c r="AG259" s="44"/>
      <c r="AH259" s="44"/>
      <c r="AI259" s="44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40"/>
      <c r="AA260" s="39"/>
      <c r="AB260" s="44"/>
      <c r="AC260" s="44"/>
      <c r="AD260" s="44"/>
      <c r="AE260" s="44"/>
      <c r="AF260" s="44"/>
      <c r="AG260" s="44"/>
      <c r="AH260" s="44"/>
      <c r="AI260" s="44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40"/>
      <c r="AA261" s="39"/>
      <c r="AB261" s="44"/>
      <c r="AC261" s="44"/>
      <c r="AD261" s="44"/>
      <c r="AE261" s="44"/>
      <c r="AF261" s="44"/>
      <c r="AG261" s="44"/>
      <c r="AH261" s="44"/>
      <c r="AI261" s="44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40"/>
      <c r="AA262" s="39"/>
      <c r="AB262" s="44"/>
      <c r="AC262" s="44"/>
      <c r="AD262" s="44"/>
      <c r="AE262" s="44"/>
      <c r="AF262" s="44"/>
      <c r="AG262" s="44"/>
      <c r="AH262" s="44"/>
      <c r="AI262" s="44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40"/>
      <c r="AA263" s="39"/>
      <c r="AB263" s="44"/>
      <c r="AC263" s="44"/>
      <c r="AD263" s="44"/>
      <c r="AE263" s="44"/>
      <c r="AF263" s="44"/>
      <c r="AG263" s="44"/>
      <c r="AH263" s="44"/>
      <c r="AI263" s="44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40"/>
      <c r="AA264" s="39"/>
      <c r="AB264" s="44"/>
      <c r="AC264" s="44"/>
      <c r="AD264" s="44"/>
      <c r="AE264" s="44"/>
      <c r="AF264" s="44"/>
      <c r="AG264" s="44"/>
      <c r="AH264" s="44"/>
      <c r="AI264" s="44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40"/>
      <c r="AA265" s="39"/>
      <c r="AB265" s="44"/>
      <c r="AC265" s="44"/>
      <c r="AD265" s="44"/>
      <c r="AE265" s="44"/>
      <c r="AF265" s="44"/>
      <c r="AG265" s="44"/>
      <c r="AH265" s="44"/>
      <c r="AI265" s="44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40"/>
      <c r="AA266" s="39"/>
      <c r="AB266" s="44"/>
      <c r="AC266" s="44"/>
      <c r="AD266" s="44"/>
      <c r="AE266" s="44"/>
      <c r="AF266" s="44"/>
      <c r="AG266" s="44"/>
      <c r="AH266" s="44"/>
      <c r="AI266" s="44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40"/>
      <c r="AA267" s="39"/>
      <c r="AB267" s="44"/>
      <c r="AC267" s="44"/>
      <c r="AD267" s="44"/>
      <c r="AE267" s="44"/>
      <c r="AF267" s="44"/>
      <c r="AG267" s="44"/>
      <c r="AH267" s="44"/>
      <c r="AI267" s="44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40"/>
      <c r="AA268" s="39"/>
      <c r="AB268" s="44"/>
      <c r="AC268" s="44"/>
      <c r="AD268" s="44"/>
      <c r="AE268" s="44"/>
      <c r="AF268" s="44"/>
      <c r="AG268" s="44"/>
      <c r="AH268" s="44"/>
      <c r="AI268" s="44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40"/>
      <c r="AA269" s="39"/>
      <c r="AB269" s="44"/>
      <c r="AC269" s="44"/>
      <c r="AD269" s="44"/>
      <c r="AE269" s="44"/>
      <c r="AF269" s="44"/>
      <c r="AG269" s="44"/>
      <c r="AH269" s="44"/>
      <c r="AI269" s="44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40"/>
      <c r="AA270" s="39"/>
      <c r="AB270" s="44"/>
      <c r="AC270" s="44"/>
      <c r="AD270" s="44"/>
      <c r="AE270" s="44"/>
      <c r="AF270" s="44"/>
      <c r="AG270" s="44"/>
      <c r="AH270" s="44"/>
      <c r="AI270" s="44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40"/>
      <c r="AA271" s="39"/>
      <c r="AB271" s="44"/>
      <c r="AC271" s="44"/>
      <c r="AD271" s="44"/>
      <c r="AE271" s="44"/>
      <c r="AF271" s="44"/>
      <c r="AG271" s="44"/>
      <c r="AH271" s="44"/>
      <c r="AI271" s="44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40"/>
      <c r="AA272" s="39"/>
      <c r="AB272" s="44"/>
      <c r="AC272" s="44"/>
      <c r="AD272" s="44"/>
      <c r="AE272" s="44"/>
      <c r="AF272" s="44"/>
      <c r="AG272" s="44"/>
      <c r="AH272" s="44"/>
      <c r="AI272" s="44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40"/>
      <c r="AA273" s="39"/>
      <c r="AB273" s="44"/>
      <c r="AC273" s="44"/>
      <c r="AD273" s="44"/>
      <c r="AE273" s="44"/>
      <c r="AF273" s="44"/>
      <c r="AG273" s="44"/>
      <c r="AH273" s="44"/>
      <c r="AI273" s="44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40"/>
      <c r="AA274" s="39"/>
      <c r="AB274" s="44"/>
      <c r="AC274" s="44"/>
      <c r="AD274" s="44"/>
      <c r="AE274" s="44"/>
      <c r="AF274" s="44"/>
      <c r="AG274" s="44"/>
      <c r="AH274" s="44"/>
      <c r="AI274" s="44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40"/>
      <c r="AA275" s="39"/>
      <c r="AB275" s="44"/>
      <c r="AC275" s="44"/>
      <c r="AD275" s="44"/>
      <c r="AE275" s="44"/>
      <c r="AF275" s="44"/>
      <c r="AG275" s="44"/>
      <c r="AH275" s="44"/>
      <c r="AI275" s="44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40"/>
      <c r="AA276" s="39"/>
      <c r="AB276" s="44"/>
      <c r="AC276" s="44"/>
      <c r="AD276" s="44"/>
      <c r="AE276" s="44"/>
      <c r="AF276" s="44"/>
      <c r="AG276" s="44"/>
      <c r="AH276" s="44"/>
      <c r="AI276" s="44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40"/>
      <c r="AA277" s="39"/>
      <c r="AB277" s="44"/>
      <c r="AC277" s="44"/>
      <c r="AD277" s="44"/>
      <c r="AE277" s="44"/>
      <c r="AF277" s="44"/>
      <c r="AG277" s="44"/>
      <c r="AH277" s="44"/>
      <c r="AI277" s="44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40"/>
      <c r="AA278" s="39"/>
      <c r="AB278" s="44"/>
      <c r="AC278" s="44"/>
      <c r="AD278" s="44"/>
      <c r="AE278" s="44"/>
      <c r="AF278" s="44"/>
      <c r="AG278" s="44"/>
      <c r="AH278" s="44"/>
      <c r="AI278" s="44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40"/>
      <c r="AA279" s="39"/>
      <c r="AB279" s="44"/>
      <c r="AC279" s="44"/>
      <c r="AD279" s="44"/>
      <c r="AE279" s="44"/>
      <c r="AF279" s="44"/>
      <c r="AG279" s="44"/>
      <c r="AH279" s="44"/>
      <c r="AI279" s="44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40"/>
      <c r="AA280" s="39"/>
      <c r="AB280" s="44"/>
      <c r="AC280" s="44"/>
      <c r="AD280" s="44"/>
      <c r="AE280" s="44"/>
      <c r="AF280" s="44"/>
      <c r="AG280" s="44"/>
      <c r="AH280" s="44"/>
      <c r="AI280" s="44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40"/>
      <c r="AA281" s="39"/>
      <c r="AB281" s="44"/>
      <c r="AC281" s="44"/>
      <c r="AD281" s="44"/>
      <c r="AE281" s="44"/>
      <c r="AF281" s="44"/>
      <c r="AG281" s="44"/>
      <c r="AH281" s="44"/>
      <c r="AI281" s="44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40"/>
      <c r="AA282" s="39"/>
      <c r="AB282" s="44"/>
      <c r="AC282" s="44"/>
      <c r="AD282" s="44"/>
      <c r="AE282" s="44"/>
      <c r="AF282" s="44"/>
      <c r="AG282" s="44"/>
      <c r="AH282" s="44"/>
      <c r="AI282" s="44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40"/>
      <c r="AA283" s="39"/>
      <c r="AB283" s="44"/>
      <c r="AC283" s="44"/>
      <c r="AD283" s="44"/>
      <c r="AE283" s="44"/>
      <c r="AF283" s="44"/>
      <c r="AG283" s="44"/>
      <c r="AH283" s="44"/>
      <c r="AI283" s="44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40"/>
      <c r="AA284" s="39"/>
      <c r="AB284" s="44"/>
      <c r="AC284" s="44"/>
      <c r="AD284" s="44"/>
      <c r="AE284" s="44"/>
      <c r="AF284" s="44"/>
      <c r="AG284" s="44"/>
      <c r="AH284" s="44"/>
      <c r="AI284" s="44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40"/>
      <c r="AA285" s="39"/>
      <c r="AB285" s="44"/>
      <c r="AC285" s="44"/>
      <c r="AD285" s="44"/>
      <c r="AE285" s="44"/>
      <c r="AF285" s="44"/>
      <c r="AG285" s="44"/>
      <c r="AH285" s="44"/>
      <c r="AI285" s="44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40"/>
      <c r="AA286" s="39"/>
      <c r="AB286" s="44"/>
      <c r="AC286" s="44"/>
      <c r="AD286" s="44"/>
      <c r="AE286" s="44"/>
      <c r="AF286" s="44"/>
      <c r="AG286" s="44"/>
      <c r="AH286" s="44"/>
      <c r="AI286" s="44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40"/>
      <c r="AA287" s="39"/>
      <c r="AB287" s="44"/>
      <c r="AC287" s="44"/>
      <c r="AD287" s="44"/>
      <c r="AE287" s="44"/>
      <c r="AF287" s="44"/>
      <c r="AG287" s="44"/>
      <c r="AH287" s="44"/>
      <c r="AI287" s="44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40"/>
      <c r="AA288" s="39"/>
      <c r="AB288" s="44"/>
      <c r="AC288" s="44"/>
      <c r="AD288" s="44"/>
      <c r="AE288" s="44"/>
      <c r="AF288" s="44"/>
      <c r="AG288" s="44"/>
      <c r="AH288" s="44"/>
      <c r="AI288" s="44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40"/>
      <c r="AA289" s="39"/>
      <c r="AB289" s="44"/>
      <c r="AC289" s="44"/>
      <c r="AD289" s="44"/>
      <c r="AE289" s="44"/>
      <c r="AF289" s="44"/>
      <c r="AG289" s="44"/>
      <c r="AH289" s="44"/>
      <c r="AI289" s="44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40"/>
      <c r="AA290" s="39"/>
      <c r="AB290" s="44"/>
      <c r="AC290" s="44"/>
      <c r="AD290" s="44"/>
      <c r="AE290" s="44"/>
      <c r="AF290" s="44"/>
      <c r="AG290" s="44"/>
      <c r="AH290" s="44"/>
      <c r="AI290" s="44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40"/>
      <c r="AA291" s="39"/>
      <c r="AB291" s="44"/>
      <c r="AC291" s="44"/>
      <c r="AD291" s="44"/>
      <c r="AE291" s="44"/>
      <c r="AF291" s="44"/>
      <c r="AG291" s="44"/>
      <c r="AH291" s="44"/>
      <c r="AI291" s="44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40"/>
      <c r="AA292" s="39"/>
      <c r="AB292" s="44"/>
      <c r="AC292" s="44"/>
      <c r="AD292" s="44"/>
      <c r="AE292" s="44"/>
      <c r="AF292" s="44"/>
      <c r="AG292" s="44"/>
      <c r="AH292" s="44"/>
      <c r="AI292" s="44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40"/>
      <c r="AA293" s="39"/>
      <c r="AB293" s="44"/>
      <c r="AC293" s="44"/>
      <c r="AD293" s="44"/>
      <c r="AE293" s="44"/>
      <c r="AF293" s="44"/>
      <c r="AG293" s="44"/>
      <c r="AH293" s="44"/>
      <c r="AI293" s="44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39"/>
      <c r="AB294" s="44"/>
      <c r="AC294" s="44"/>
      <c r="AD294" s="44"/>
      <c r="AE294" s="44"/>
      <c r="AF294" s="44"/>
      <c r="AG294" s="44"/>
      <c r="AH294" s="44"/>
      <c r="AI294" s="44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40"/>
      <c r="AA295" s="39"/>
      <c r="AB295" s="44"/>
      <c r="AC295" s="44"/>
      <c r="AD295" s="44"/>
      <c r="AE295" s="44"/>
      <c r="AF295" s="44"/>
      <c r="AG295" s="44"/>
      <c r="AH295" s="44"/>
      <c r="AI295" s="44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40"/>
      <c r="AA296" s="39"/>
      <c r="AB296" s="44"/>
      <c r="AC296" s="44"/>
      <c r="AD296" s="44"/>
      <c r="AE296" s="44"/>
      <c r="AF296" s="44"/>
      <c r="AG296" s="44"/>
      <c r="AH296" s="44"/>
      <c r="AI296" s="44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40"/>
      <c r="AA297" s="39"/>
      <c r="AB297" s="44"/>
      <c r="AC297" s="44"/>
      <c r="AD297" s="44"/>
      <c r="AE297" s="44"/>
      <c r="AF297" s="44"/>
      <c r="AG297" s="44"/>
      <c r="AH297" s="44"/>
      <c r="AI297" s="44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40"/>
      <c r="AA298" s="39"/>
      <c r="AB298" s="44"/>
      <c r="AC298" s="44"/>
      <c r="AD298" s="44"/>
      <c r="AE298" s="44"/>
      <c r="AF298" s="44"/>
      <c r="AG298" s="44"/>
      <c r="AH298" s="44"/>
      <c r="AI298" s="44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40"/>
      <c r="AA299" s="39"/>
      <c r="AB299" s="44"/>
      <c r="AC299" s="44"/>
      <c r="AD299" s="44"/>
      <c r="AE299" s="44"/>
      <c r="AF299" s="44"/>
      <c r="AG299" s="44"/>
      <c r="AH299" s="44"/>
      <c r="AI299" s="44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40"/>
      <c r="AA300" s="39"/>
      <c r="AB300" s="44"/>
      <c r="AC300" s="44"/>
      <c r="AD300" s="44"/>
      <c r="AE300" s="44"/>
      <c r="AF300" s="44"/>
      <c r="AG300" s="44"/>
      <c r="AH300" s="44"/>
      <c r="AI300" s="44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40"/>
      <c r="AA301" s="39"/>
      <c r="AB301" s="44"/>
      <c r="AC301" s="44"/>
      <c r="AD301" s="44"/>
      <c r="AE301" s="44"/>
      <c r="AF301" s="44"/>
      <c r="AG301" s="44"/>
      <c r="AH301" s="44"/>
      <c r="AI301" s="44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40"/>
      <c r="AA302" s="39"/>
      <c r="AB302" s="44"/>
      <c r="AC302" s="44"/>
      <c r="AD302" s="44"/>
      <c r="AE302" s="44"/>
      <c r="AF302" s="44"/>
      <c r="AG302" s="44"/>
      <c r="AH302" s="44"/>
      <c r="AI302" s="44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40"/>
      <c r="AA303" s="39"/>
      <c r="AB303" s="44"/>
      <c r="AC303" s="44"/>
      <c r="AD303" s="44"/>
      <c r="AE303" s="44"/>
      <c r="AF303" s="44"/>
      <c r="AG303" s="44"/>
      <c r="AH303" s="44"/>
      <c r="AI303" s="44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40"/>
      <c r="AA304" s="39"/>
      <c r="AB304" s="44"/>
      <c r="AC304" s="44"/>
      <c r="AD304" s="44"/>
      <c r="AE304" s="44"/>
      <c r="AF304" s="44"/>
      <c r="AG304" s="44"/>
      <c r="AH304" s="44"/>
      <c r="AI304" s="44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40"/>
      <c r="AA305" s="39"/>
      <c r="AB305" s="44"/>
      <c r="AC305" s="44"/>
      <c r="AD305" s="44"/>
      <c r="AE305" s="44"/>
      <c r="AF305" s="44"/>
      <c r="AG305" s="44"/>
      <c r="AH305" s="44"/>
      <c r="AI305" s="44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40"/>
      <c r="AA306" s="39"/>
      <c r="AB306" s="44"/>
      <c r="AC306" s="44"/>
      <c r="AD306" s="44"/>
      <c r="AE306" s="44"/>
      <c r="AF306" s="44"/>
      <c r="AG306" s="44"/>
      <c r="AH306" s="44"/>
      <c r="AI306" s="44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40"/>
      <c r="AA307" s="39"/>
      <c r="AB307" s="44"/>
      <c r="AC307" s="44"/>
      <c r="AD307" s="44"/>
      <c r="AE307" s="44"/>
      <c r="AF307" s="44"/>
      <c r="AG307" s="44"/>
      <c r="AH307" s="44"/>
      <c r="AI307" s="44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40"/>
      <c r="AA308" s="39"/>
      <c r="AB308" s="44"/>
      <c r="AC308" s="44"/>
      <c r="AD308" s="44"/>
      <c r="AE308" s="44"/>
      <c r="AF308" s="44"/>
      <c r="AG308" s="44"/>
      <c r="AH308" s="44"/>
      <c r="AI308" s="44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40"/>
      <c r="AA309" s="39"/>
      <c r="AB309" s="44"/>
      <c r="AC309" s="44"/>
      <c r="AD309" s="44"/>
      <c r="AE309" s="44"/>
      <c r="AF309" s="44"/>
      <c r="AG309" s="44"/>
      <c r="AH309" s="44"/>
      <c r="AI309" s="44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40"/>
      <c r="AA310" s="39"/>
      <c r="AB310" s="44"/>
      <c r="AC310" s="44"/>
      <c r="AD310" s="44"/>
      <c r="AE310" s="44"/>
      <c r="AF310" s="44"/>
      <c r="AG310" s="44"/>
      <c r="AH310" s="44"/>
      <c r="AI310" s="44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40"/>
      <c r="AA311" s="39"/>
      <c r="AB311" s="44"/>
      <c r="AC311" s="44"/>
      <c r="AD311" s="44"/>
      <c r="AE311" s="44"/>
      <c r="AF311" s="44"/>
      <c r="AG311" s="44"/>
      <c r="AH311" s="44"/>
      <c r="AI311" s="44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40"/>
      <c r="AA312" s="39"/>
      <c r="AB312" s="44"/>
      <c r="AC312" s="44"/>
      <c r="AD312" s="44"/>
      <c r="AE312" s="44"/>
      <c r="AF312" s="44"/>
      <c r="AG312" s="44"/>
      <c r="AH312" s="44"/>
      <c r="AI312" s="44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40"/>
      <c r="AA313" s="39"/>
      <c r="AB313" s="44"/>
      <c r="AC313" s="44"/>
      <c r="AD313" s="44"/>
      <c r="AE313" s="44"/>
      <c r="AF313" s="44"/>
      <c r="AG313" s="44"/>
      <c r="AH313" s="44"/>
      <c r="AI313" s="44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40"/>
      <c r="AA314" s="39"/>
      <c r="AB314" s="44"/>
      <c r="AC314" s="44"/>
      <c r="AD314" s="44"/>
      <c r="AE314" s="44"/>
      <c r="AF314" s="44"/>
      <c r="AG314" s="44"/>
      <c r="AH314" s="44"/>
      <c r="AI314" s="44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40"/>
      <c r="AA315" s="39"/>
      <c r="AB315" s="44"/>
      <c r="AC315" s="44"/>
      <c r="AD315" s="44"/>
      <c r="AE315" s="44"/>
      <c r="AF315" s="44"/>
      <c r="AG315" s="44"/>
      <c r="AH315" s="44"/>
      <c r="AI315" s="44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40"/>
      <c r="AA316" s="39"/>
      <c r="AB316" s="44"/>
      <c r="AC316" s="44"/>
      <c r="AD316" s="44"/>
      <c r="AE316" s="44"/>
      <c r="AF316" s="44"/>
      <c r="AG316" s="44"/>
      <c r="AH316" s="44"/>
      <c r="AI316" s="44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40"/>
      <c r="AA317" s="39"/>
      <c r="AB317" s="44"/>
      <c r="AC317" s="44"/>
      <c r="AD317" s="44"/>
      <c r="AE317" s="44"/>
      <c r="AF317" s="44"/>
      <c r="AG317" s="44"/>
      <c r="AH317" s="44"/>
      <c r="AI317" s="44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40"/>
      <c r="AA318" s="39"/>
      <c r="AB318" s="44"/>
      <c r="AC318" s="44"/>
      <c r="AD318" s="44"/>
      <c r="AE318" s="44"/>
      <c r="AF318" s="44"/>
      <c r="AG318" s="44"/>
      <c r="AH318" s="44"/>
      <c r="AI318" s="44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40"/>
      <c r="AA319" s="39"/>
      <c r="AB319" s="44"/>
      <c r="AC319" s="44"/>
      <c r="AD319" s="44"/>
      <c r="AE319" s="44"/>
      <c r="AF319" s="44"/>
      <c r="AG319" s="44"/>
      <c r="AH319" s="44"/>
      <c r="AI319" s="44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40"/>
      <c r="AA320" s="39"/>
      <c r="AB320" s="44"/>
      <c r="AC320" s="44"/>
      <c r="AD320" s="44"/>
      <c r="AE320" s="44"/>
      <c r="AF320" s="44"/>
      <c r="AG320" s="44"/>
      <c r="AH320" s="44"/>
      <c r="AI320" s="44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40"/>
      <c r="AA321" s="39"/>
      <c r="AB321" s="44"/>
      <c r="AC321" s="44"/>
      <c r="AD321" s="44"/>
      <c r="AE321" s="44"/>
      <c r="AF321" s="44"/>
      <c r="AG321" s="44"/>
      <c r="AH321" s="44"/>
      <c r="AI321" s="44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40"/>
      <c r="AA322" s="39"/>
      <c r="AB322" s="44"/>
      <c r="AC322" s="44"/>
      <c r="AD322" s="44"/>
      <c r="AE322" s="44"/>
      <c r="AF322" s="44"/>
      <c r="AG322" s="44"/>
      <c r="AH322" s="44"/>
      <c r="AI322" s="44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40"/>
      <c r="AA323" s="39"/>
      <c r="AB323" s="44"/>
      <c r="AC323" s="44"/>
      <c r="AD323" s="44"/>
      <c r="AE323" s="44"/>
      <c r="AF323" s="44"/>
      <c r="AG323" s="44"/>
      <c r="AH323" s="44"/>
      <c r="AI323" s="44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40"/>
      <c r="AA324" s="39"/>
      <c r="AB324" s="44"/>
      <c r="AC324" s="44"/>
      <c r="AD324" s="44"/>
      <c r="AE324" s="44"/>
      <c r="AF324" s="44"/>
      <c r="AG324" s="44"/>
      <c r="AH324" s="44"/>
      <c r="AI324" s="44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40"/>
      <c r="AA325" s="39"/>
      <c r="AB325" s="44"/>
      <c r="AC325" s="44"/>
      <c r="AD325" s="44"/>
      <c r="AE325" s="44"/>
      <c r="AF325" s="44"/>
      <c r="AG325" s="44"/>
      <c r="AH325" s="44"/>
      <c r="AI325" s="44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40"/>
      <c r="AA326" s="39"/>
      <c r="AB326" s="44"/>
      <c r="AC326" s="44"/>
      <c r="AD326" s="44"/>
      <c r="AE326" s="44"/>
      <c r="AF326" s="44"/>
      <c r="AG326" s="44"/>
      <c r="AH326" s="44"/>
      <c r="AI326" s="44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40"/>
      <c r="AA327" s="39"/>
      <c r="AB327" s="44"/>
      <c r="AC327" s="44"/>
      <c r="AD327" s="44"/>
      <c r="AE327" s="44"/>
      <c r="AF327" s="44"/>
      <c r="AG327" s="44"/>
      <c r="AH327" s="44"/>
      <c r="AI327" s="44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40"/>
      <c r="AA328" s="39"/>
      <c r="AB328" s="44"/>
      <c r="AC328" s="44"/>
      <c r="AD328" s="44"/>
      <c r="AE328" s="44"/>
      <c r="AF328" s="44"/>
      <c r="AG328" s="44"/>
      <c r="AH328" s="44"/>
      <c r="AI328" s="44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40"/>
      <c r="AA329" s="39"/>
      <c r="AB329" s="44"/>
      <c r="AC329" s="44"/>
      <c r="AD329" s="44"/>
      <c r="AE329" s="44"/>
      <c r="AF329" s="44"/>
      <c r="AG329" s="44"/>
      <c r="AH329" s="44"/>
      <c r="AI329" s="44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40"/>
      <c r="AA330" s="39"/>
      <c r="AB330" s="44"/>
      <c r="AC330" s="44"/>
      <c r="AD330" s="44"/>
      <c r="AE330" s="44"/>
      <c r="AF330" s="44"/>
      <c r="AG330" s="44"/>
      <c r="AH330" s="44"/>
      <c r="AI330" s="44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40"/>
      <c r="AA331" s="39"/>
      <c r="AB331" s="44"/>
      <c r="AC331" s="44"/>
      <c r="AD331" s="44"/>
      <c r="AE331" s="44"/>
      <c r="AF331" s="44"/>
      <c r="AG331" s="44"/>
      <c r="AH331" s="44"/>
      <c r="AI331" s="44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39"/>
      <c r="AB332" s="44"/>
      <c r="AC332" s="44"/>
      <c r="AD332" s="44"/>
      <c r="AE332" s="44"/>
      <c r="AF332" s="44"/>
      <c r="AG332" s="44"/>
      <c r="AH332" s="44"/>
      <c r="AI332" s="44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40"/>
      <c r="AA333" s="39"/>
      <c r="AB333" s="44"/>
      <c r="AC333" s="44"/>
      <c r="AD333" s="44"/>
      <c r="AE333" s="44"/>
      <c r="AF333" s="44"/>
      <c r="AG333" s="44"/>
      <c r="AH333" s="44"/>
      <c r="AI333" s="44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40"/>
      <c r="AA334" s="39"/>
      <c r="AB334" s="44"/>
      <c r="AC334" s="44"/>
      <c r="AD334" s="44"/>
      <c r="AE334" s="44"/>
      <c r="AF334" s="44"/>
      <c r="AG334" s="44"/>
      <c r="AH334" s="44"/>
      <c r="AI334" s="44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40"/>
      <c r="AA335" s="39"/>
      <c r="AB335" s="44"/>
      <c r="AC335" s="44"/>
      <c r="AD335" s="44"/>
      <c r="AE335" s="44"/>
      <c r="AF335" s="44"/>
      <c r="AG335" s="44"/>
      <c r="AH335" s="44"/>
      <c r="AI335" s="44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40"/>
      <c r="AA336" s="39"/>
      <c r="AB336" s="44"/>
      <c r="AC336" s="44"/>
      <c r="AD336" s="44"/>
      <c r="AE336" s="44"/>
      <c r="AF336" s="44"/>
      <c r="AG336" s="44"/>
      <c r="AH336" s="44"/>
      <c r="AI336" s="44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40"/>
      <c r="AA337" s="39"/>
      <c r="AB337" s="44"/>
      <c r="AC337" s="44"/>
      <c r="AD337" s="44"/>
      <c r="AE337" s="44"/>
      <c r="AF337" s="44"/>
      <c r="AG337" s="44"/>
      <c r="AH337" s="44"/>
      <c r="AI337" s="44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40"/>
      <c r="AA338" s="39"/>
      <c r="AB338" s="44"/>
      <c r="AC338" s="44"/>
      <c r="AD338" s="44"/>
      <c r="AE338" s="44"/>
      <c r="AF338" s="44"/>
      <c r="AG338" s="44"/>
      <c r="AH338" s="44"/>
      <c r="AI338" s="44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40"/>
      <c r="AA339" s="39"/>
      <c r="AB339" s="44"/>
      <c r="AC339" s="44"/>
      <c r="AD339" s="44"/>
      <c r="AE339" s="44"/>
      <c r="AF339" s="44"/>
      <c r="AG339" s="44"/>
      <c r="AH339" s="44"/>
      <c r="AI339" s="44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40"/>
      <c r="AA340" s="39"/>
      <c r="AB340" s="44"/>
      <c r="AC340" s="44"/>
      <c r="AD340" s="44"/>
      <c r="AE340" s="44"/>
      <c r="AF340" s="44"/>
      <c r="AG340" s="44"/>
      <c r="AH340" s="44"/>
      <c r="AI340" s="44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40"/>
      <c r="AA341" s="39"/>
      <c r="AB341" s="44"/>
      <c r="AC341" s="44"/>
      <c r="AD341" s="44"/>
      <c r="AE341" s="44"/>
      <c r="AF341" s="44"/>
      <c r="AG341" s="44"/>
      <c r="AH341" s="44"/>
      <c r="AI341" s="44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40"/>
      <c r="AA342" s="39"/>
      <c r="AB342" s="44"/>
      <c r="AC342" s="44"/>
      <c r="AD342" s="44"/>
      <c r="AE342" s="44"/>
      <c r="AF342" s="44"/>
      <c r="AG342" s="44"/>
      <c r="AH342" s="44"/>
      <c r="AI342" s="44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40"/>
      <c r="AA343" s="39"/>
      <c r="AB343" s="44"/>
      <c r="AC343" s="44"/>
      <c r="AD343" s="44"/>
      <c r="AE343" s="44"/>
      <c r="AF343" s="44"/>
      <c r="AG343" s="44"/>
      <c r="AH343" s="44"/>
      <c r="AI343" s="44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40"/>
      <c r="AA344" s="39"/>
      <c r="AB344" s="44"/>
      <c r="AC344" s="44"/>
      <c r="AD344" s="44"/>
      <c r="AE344" s="44"/>
      <c r="AF344" s="44"/>
      <c r="AG344" s="44"/>
      <c r="AH344" s="44"/>
      <c r="AI344" s="44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40"/>
      <c r="AA345" s="39"/>
      <c r="AB345" s="44"/>
      <c r="AC345" s="44"/>
      <c r="AD345" s="44"/>
      <c r="AE345" s="44"/>
      <c r="AF345" s="44"/>
      <c r="AG345" s="44"/>
      <c r="AH345" s="44"/>
      <c r="AI345" s="44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40"/>
      <c r="AA346" s="39"/>
      <c r="AB346" s="44"/>
      <c r="AC346" s="44"/>
      <c r="AD346" s="44"/>
      <c r="AE346" s="44"/>
      <c r="AF346" s="44"/>
      <c r="AG346" s="44"/>
      <c r="AH346" s="44"/>
      <c r="AI346" s="44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40"/>
      <c r="AA347" s="39"/>
      <c r="AB347" s="44"/>
      <c r="AC347" s="44"/>
      <c r="AD347" s="44"/>
      <c r="AE347" s="44"/>
      <c r="AF347" s="44"/>
      <c r="AG347" s="44"/>
      <c r="AH347" s="44"/>
      <c r="AI347" s="44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40"/>
      <c r="AA348" s="39"/>
      <c r="AB348" s="44"/>
      <c r="AC348" s="44"/>
      <c r="AD348" s="44"/>
      <c r="AE348" s="44"/>
      <c r="AF348" s="44"/>
      <c r="AG348" s="44"/>
      <c r="AH348" s="44"/>
      <c r="AI348" s="44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40"/>
      <c r="AA349" s="39"/>
      <c r="AB349" s="44"/>
      <c r="AC349" s="44"/>
      <c r="AD349" s="44"/>
      <c r="AE349" s="44"/>
      <c r="AF349" s="44"/>
      <c r="AG349" s="44"/>
      <c r="AH349" s="44"/>
      <c r="AI349" s="44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40"/>
      <c r="AA350" s="39"/>
      <c r="AB350" s="44"/>
      <c r="AC350" s="44"/>
      <c r="AD350" s="44"/>
      <c r="AE350" s="44"/>
      <c r="AF350" s="44"/>
      <c r="AG350" s="44"/>
      <c r="AH350" s="44"/>
      <c r="AI350" s="44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40"/>
      <c r="AA351" s="39"/>
      <c r="AB351" s="44"/>
      <c r="AC351" s="44"/>
      <c r="AD351" s="44"/>
      <c r="AE351" s="44"/>
      <c r="AF351" s="44"/>
      <c r="AG351" s="44"/>
      <c r="AH351" s="44"/>
      <c r="AI351" s="44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40"/>
      <c r="AA352" s="39"/>
      <c r="AB352" s="44"/>
      <c r="AC352" s="44"/>
      <c r="AD352" s="44"/>
      <c r="AE352" s="44"/>
      <c r="AF352" s="44"/>
      <c r="AG352" s="44"/>
      <c r="AH352" s="44"/>
      <c r="AI352" s="44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40"/>
      <c r="AA353" s="39"/>
      <c r="AB353" s="44"/>
      <c r="AC353" s="44"/>
      <c r="AD353" s="44"/>
      <c r="AE353" s="44"/>
      <c r="AF353" s="44"/>
      <c r="AG353" s="44"/>
      <c r="AH353" s="44"/>
      <c r="AI353" s="44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40"/>
      <c r="AA354" s="39"/>
      <c r="AB354" s="44"/>
      <c r="AC354" s="44"/>
      <c r="AD354" s="44"/>
      <c r="AE354" s="44"/>
      <c r="AF354" s="44"/>
      <c r="AG354" s="44"/>
      <c r="AH354" s="44"/>
      <c r="AI354" s="44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40"/>
      <c r="AA355" s="39"/>
      <c r="AB355" s="44"/>
      <c r="AC355" s="44"/>
      <c r="AD355" s="44"/>
      <c r="AE355" s="44"/>
      <c r="AF355" s="44"/>
      <c r="AG355" s="44"/>
      <c r="AH355" s="44"/>
      <c r="AI355" s="44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40"/>
      <c r="AA356" s="39"/>
      <c r="AB356" s="44"/>
      <c r="AC356" s="44"/>
      <c r="AD356" s="44"/>
      <c r="AE356" s="44"/>
      <c r="AF356" s="44"/>
      <c r="AG356" s="44"/>
      <c r="AH356" s="44"/>
      <c r="AI356" s="44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40"/>
      <c r="AA357" s="39"/>
      <c r="AB357" s="44"/>
      <c r="AC357" s="44"/>
      <c r="AD357" s="44"/>
      <c r="AE357" s="44"/>
      <c r="AF357" s="44"/>
      <c r="AG357" s="44"/>
      <c r="AH357" s="44"/>
      <c r="AI357" s="44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40"/>
      <c r="AA358" s="39"/>
      <c r="AB358" s="44"/>
      <c r="AC358" s="44"/>
      <c r="AD358" s="44"/>
      <c r="AE358" s="44"/>
      <c r="AF358" s="44"/>
      <c r="AG358" s="44"/>
      <c r="AH358" s="44"/>
      <c r="AI358" s="44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40"/>
      <c r="AA359" s="39"/>
      <c r="AB359" s="44"/>
      <c r="AC359" s="44"/>
      <c r="AD359" s="44"/>
      <c r="AE359" s="44"/>
      <c r="AF359" s="44"/>
      <c r="AG359" s="44"/>
      <c r="AH359" s="44"/>
      <c r="AI359" s="44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40"/>
      <c r="AA360" s="39"/>
      <c r="AB360" s="44"/>
      <c r="AC360" s="44"/>
      <c r="AD360" s="44"/>
      <c r="AE360" s="44"/>
      <c r="AF360" s="44"/>
      <c r="AG360" s="44"/>
      <c r="AH360" s="44"/>
      <c r="AI360" s="44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40"/>
      <c r="AA361" s="39"/>
      <c r="AB361" s="44"/>
      <c r="AC361" s="44"/>
      <c r="AD361" s="44"/>
      <c r="AE361" s="44"/>
      <c r="AF361" s="44"/>
      <c r="AG361" s="44"/>
      <c r="AH361" s="44"/>
      <c r="AI361" s="44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40"/>
      <c r="AA362" s="39"/>
      <c r="AB362" s="44"/>
      <c r="AC362" s="44"/>
      <c r="AD362" s="44"/>
      <c r="AE362" s="44"/>
      <c r="AF362" s="44"/>
      <c r="AG362" s="44"/>
      <c r="AH362" s="44"/>
      <c r="AI362" s="44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40"/>
      <c r="AA363" s="39"/>
      <c r="AB363" s="44"/>
      <c r="AC363" s="44"/>
      <c r="AD363" s="44"/>
      <c r="AE363" s="44"/>
      <c r="AF363" s="44"/>
      <c r="AG363" s="44"/>
      <c r="AH363" s="44"/>
      <c r="AI363" s="44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40"/>
      <c r="AA364" s="39"/>
      <c r="AB364" s="44"/>
      <c r="AC364" s="44"/>
      <c r="AD364" s="44"/>
      <c r="AE364" s="44"/>
      <c r="AF364" s="44"/>
      <c r="AG364" s="44"/>
      <c r="AH364" s="44"/>
      <c r="AI364" s="44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40"/>
      <c r="AA365" s="39"/>
      <c r="AB365" s="44"/>
      <c r="AC365" s="44"/>
      <c r="AD365" s="44"/>
      <c r="AE365" s="44"/>
      <c r="AF365" s="44"/>
      <c r="AG365" s="44"/>
      <c r="AH365" s="44"/>
      <c r="AI365" s="44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40"/>
      <c r="AA366" s="39"/>
      <c r="AB366" s="44"/>
      <c r="AC366" s="44"/>
      <c r="AD366" s="44"/>
      <c r="AE366" s="44"/>
      <c r="AF366" s="44"/>
      <c r="AG366" s="44"/>
      <c r="AH366" s="44"/>
      <c r="AI366" s="44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40"/>
      <c r="AA367" s="39"/>
      <c r="AB367" s="44"/>
      <c r="AC367" s="44"/>
      <c r="AD367" s="44"/>
      <c r="AE367" s="44"/>
      <c r="AF367" s="44"/>
      <c r="AG367" s="44"/>
      <c r="AH367" s="44"/>
      <c r="AI367" s="44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40"/>
      <c r="AA368" s="39"/>
      <c r="AB368" s="44"/>
      <c r="AC368" s="44"/>
      <c r="AD368" s="44"/>
      <c r="AE368" s="44"/>
      <c r="AF368" s="44"/>
      <c r="AG368" s="44"/>
      <c r="AH368" s="44"/>
      <c r="AI368" s="44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40"/>
      <c r="AA369" s="39"/>
      <c r="AB369" s="44"/>
      <c r="AC369" s="44"/>
      <c r="AD369" s="44"/>
      <c r="AE369" s="44"/>
      <c r="AF369" s="44"/>
      <c r="AG369" s="44"/>
      <c r="AH369" s="44"/>
      <c r="AI369" s="44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39"/>
      <c r="AB370" s="44"/>
      <c r="AC370" s="44"/>
      <c r="AD370" s="44"/>
      <c r="AE370" s="44"/>
      <c r="AF370" s="44"/>
      <c r="AG370" s="44"/>
      <c r="AH370" s="44"/>
      <c r="AI370" s="44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40"/>
      <c r="AA371" s="39"/>
      <c r="AB371" s="44"/>
      <c r="AC371" s="44"/>
      <c r="AD371" s="44"/>
      <c r="AE371" s="44"/>
      <c r="AF371" s="44"/>
      <c r="AG371" s="44"/>
      <c r="AH371" s="44"/>
      <c r="AI371" s="44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40"/>
      <c r="AA372" s="39"/>
      <c r="AB372" s="44"/>
      <c r="AC372" s="44"/>
      <c r="AD372" s="44"/>
      <c r="AE372" s="44"/>
      <c r="AF372" s="44"/>
      <c r="AG372" s="44"/>
      <c r="AH372" s="44"/>
      <c r="AI372" s="44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40"/>
      <c r="AA373" s="39"/>
      <c r="AB373" s="44"/>
      <c r="AC373" s="44"/>
      <c r="AD373" s="44"/>
      <c r="AE373" s="44"/>
      <c r="AF373" s="44"/>
      <c r="AG373" s="44"/>
      <c r="AH373" s="44"/>
      <c r="AI373" s="44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40"/>
      <c r="AA374" s="39"/>
      <c r="AB374" s="44"/>
      <c r="AC374" s="44"/>
      <c r="AD374" s="44"/>
      <c r="AE374" s="44"/>
      <c r="AF374" s="44"/>
      <c r="AG374" s="44"/>
      <c r="AH374" s="44"/>
      <c r="AI374" s="44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40"/>
      <c r="AA375" s="39"/>
      <c r="AB375" s="44"/>
      <c r="AC375" s="44"/>
      <c r="AD375" s="44"/>
      <c r="AE375" s="44"/>
      <c r="AF375" s="44"/>
      <c r="AG375" s="44"/>
      <c r="AH375" s="44"/>
      <c r="AI375" s="44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40"/>
      <c r="AA376" s="39"/>
      <c r="AB376" s="44"/>
      <c r="AC376" s="44"/>
      <c r="AD376" s="44"/>
      <c r="AE376" s="44"/>
      <c r="AF376" s="44"/>
      <c r="AG376" s="44"/>
      <c r="AH376" s="44"/>
      <c r="AI376" s="44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40"/>
      <c r="AA377" s="39"/>
      <c r="AB377" s="44"/>
      <c r="AC377" s="44"/>
      <c r="AD377" s="44"/>
      <c r="AE377" s="44"/>
      <c r="AF377" s="44"/>
      <c r="AG377" s="44"/>
      <c r="AH377" s="44"/>
      <c r="AI377" s="44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40"/>
      <c r="AA378" s="39"/>
      <c r="AB378" s="44"/>
      <c r="AC378" s="44"/>
      <c r="AD378" s="44"/>
      <c r="AE378" s="44"/>
      <c r="AF378" s="44"/>
      <c r="AG378" s="44"/>
      <c r="AH378" s="44"/>
      <c r="AI378" s="44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40"/>
      <c r="AA379" s="39"/>
      <c r="AB379" s="44"/>
      <c r="AC379" s="44"/>
      <c r="AD379" s="44"/>
      <c r="AE379" s="44"/>
      <c r="AF379" s="44"/>
      <c r="AG379" s="44"/>
      <c r="AH379" s="44"/>
      <c r="AI379" s="44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40"/>
      <c r="AA380" s="39"/>
      <c r="AB380" s="44"/>
      <c r="AC380" s="44"/>
      <c r="AD380" s="44"/>
      <c r="AE380" s="44"/>
      <c r="AF380" s="44"/>
      <c r="AG380" s="44"/>
      <c r="AH380" s="44"/>
      <c r="AI380" s="44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40"/>
      <c r="AA381" s="39"/>
      <c r="AB381" s="44"/>
      <c r="AC381" s="44"/>
      <c r="AD381" s="44"/>
      <c r="AE381" s="44"/>
      <c r="AF381" s="44"/>
      <c r="AG381" s="44"/>
      <c r="AH381" s="44"/>
      <c r="AI381" s="44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40"/>
      <c r="AA382" s="39"/>
      <c r="AB382" s="44"/>
      <c r="AC382" s="44"/>
      <c r="AD382" s="44"/>
      <c r="AE382" s="44"/>
      <c r="AF382" s="44"/>
      <c r="AG382" s="44"/>
      <c r="AH382" s="44"/>
      <c r="AI382" s="44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40"/>
      <c r="AA383" s="39"/>
      <c r="AB383" s="44"/>
      <c r="AC383" s="44"/>
      <c r="AD383" s="44"/>
      <c r="AE383" s="44"/>
      <c r="AF383" s="44"/>
      <c r="AG383" s="44"/>
      <c r="AH383" s="44"/>
      <c r="AI383" s="44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40"/>
      <c r="AA384" s="39"/>
      <c r="AB384" s="44"/>
      <c r="AC384" s="44"/>
      <c r="AD384" s="44"/>
      <c r="AE384" s="44"/>
      <c r="AF384" s="44"/>
      <c r="AG384" s="44"/>
      <c r="AH384" s="44"/>
      <c r="AI384" s="44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40"/>
      <c r="AA385" s="39"/>
      <c r="AB385" s="44"/>
      <c r="AC385" s="44"/>
      <c r="AD385" s="44"/>
      <c r="AE385" s="44"/>
      <c r="AF385" s="44"/>
      <c r="AG385" s="44"/>
      <c r="AH385" s="44"/>
      <c r="AI385" s="44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40"/>
      <c r="AA386" s="39"/>
      <c r="AB386" s="44"/>
      <c r="AC386" s="44"/>
      <c r="AD386" s="44"/>
      <c r="AE386" s="44"/>
      <c r="AF386" s="44"/>
      <c r="AG386" s="44"/>
      <c r="AH386" s="44"/>
      <c r="AI386" s="44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40"/>
      <c r="AA387" s="39"/>
      <c r="AB387" s="44"/>
      <c r="AC387" s="44"/>
      <c r="AD387" s="44"/>
      <c r="AE387" s="44"/>
      <c r="AF387" s="44"/>
      <c r="AG387" s="44"/>
      <c r="AH387" s="44"/>
      <c r="AI387" s="44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40"/>
      <c r="AA388" s="39"/>
      <c r="AB388" s="44"/>
      <c r="AC388" s="44"/>
      <c r="AD388" s="44"/>
      <c r="AE388" s="44"/>
      <c r="AF388" s="44"/>
      <c r="AG388" s="44"/>
      <c r="AH388" s="44"/>
      <c r="AI388" s="44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40"/>
      <c r="AA389" s="39"/>
      <c r="AB389" s="44"/>
      <c r="AC389" s="44"/>
      <c r="AD389" s="44"/>
      <c r="AE389" s="44"/>
      <c r="AF389" s="44"/>
      <c r="AG389" s="44"/>
      <c r="AH389" s="44"/>
      <c r="AI389" s="44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40"/>
      <c r="AA390" s="39"/>
      <c r="AB390" s="44"/>
      <c r="AC390" s="44"/>
      <c r="AD390" s="44"/>
      <c r="AE390" s="44"/>
      <c r="AF390" s="44"/>
      <c r="AG390" s="44"/>
      <c r="AH390" s="44"/>
      <c r="AI390" s="44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40"/>
      <c r="AA391" s="39"/>
      <c r="AB391" s="44"/>
      <c r="AC391" s="44"/>
      <c r="AD391" s="44"/>
      <c r="AE391" s="44"/>
      <c r="AF391" s="44"/>
      <c r="AG391" s="44"/>
      <c r="AH391" s="44"/>
      <c r="AI391" s="44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40"/>
      <c r="AA392" s="39"/>
      <c r="AB392" s="44"/>
      <c r="AC392" s="44"/>
      <c r="AD392" s="44"/>
      <c r="AE392" s="44"/>
      <c r="AF392" s="44"/>
      <c r="AG392" s="44"/>
      <c r="AH392" s="44"/>
      <c r="AI392" s="44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40"/>
      <c r="AA393" s="39"/>
      <c r="AB393" s="44"/>
      <c r="AC393" s="44"/>
      <c r="AD393" s="44"/>
      <c r="AE393" s="44"/>
      <c r="AF393" s="44"/>
      <c r="AG393" s="44"/>
      <c r="AH393" s="44"/>
      <c r="AI393" s="44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40"/>
      <c r="AA394" s="39"/>
      <c r="AB394" s="44"/>
      <c r="AC394" s="44"/>
      <c r="AD394" s="44"/>
      <c r="AE394" s="44"/>
      <c r="AF394" s="44"/>
      <c r="AG394" s="44"/>
      <c r="AH394" s="44"/>
      <c r="AI394" s="44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40"/>
      <c r="AA395" s="39"/>
      <c r="AB395" s="44"/>
      <c r="AC395" s="44"/>
      <c r="AD395" s="44"/>
      <c r="AE395" s="44"/>
      <c r="AF395" s="44"/>
      <c r="AG395" s="44"/>
      <c r="AH395" s="44"/>
      <c r="AI395" s="44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40"/>
      <c r="AA396" s="39"/>
      <c r="AB396" s="44"/>
      <c r="AC396" s="44"/>
      <c r="AD396" s="44"/>
      <c r="AE396" s="44"/>
      <c r="AF396" s="44"/>
      <c r="AG396" s="44"/>
      <c r="AH396" s="44"/>
      <c r="AI396" s="44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40"/>
      <c r="AA397" s="39"/>
      <c r="AB397" s="44"/>
      <c r="AC397" s="44"/>
      <c r="AD397" s="44"/>
      <c r="AE397" s="44"/>
      <c r="AF397" s="44"/>
      <c r="AG397" s="44"/>
      <c r="AH397" s="44"/>
      <c r="AI397" s="44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40"/>
      <c r="AA398" s="39"/>
      <c r="AB398" s="44"/>
      <c r="AC398" s="44"/>
      <c r="AD398" s="44"/>
      <c r="AE398" s="44"/>
      <c r="AF398" s="44"/>
      <c r="AG398" s="44"/>
      <c r="AH398" s="44"/>
      <c r="AI398" s="44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40"/>
      <c r="AA399" s="39"/>
      <c r="AB399" s="44"/>
      <c r="AC399" s="44"/>
      <c r="AD399" s="44"/>
      <c r="AE399" s="44"/>
      <c r="AF399" s="44"/>
      <c r="AG399" s="44"/>
      <c r="AH399" s="44"/>
      <c r="AI399" s="44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40"/>
      <c r="AA400" s="39"/>
      <c r="AB400" s="44"/>
      <c r="AC400" s="44"/>
      <c r="AD400" s="44"/>
      <c r="AE400" s="44"/>
      <c r="AF400" s="44"/>
      <c r="AG400" s="44"/>
      <c r="AH400" s="44"/>
      <c r="AI400" s="44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40"/>
      <c r="AA401" s="39"/>
      <c r="AB401" s="44"/>
      <c r="AC401" s="44"/>
      <c r="AD401" s="44"/>
      <c r="AE401" s="44"/>
      <c r="AF401" s="44"/>
      <c r="AG401" s="44"/>
      <c r="AH401" s="44"/>
      <c r="AI401" s="44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40"/>
      <c r="AA402" s="39"/>
      <c r="AB402" s="44"/>
      <c r="AC402" s="44"/>
      <c r="AD402" s="44"/>
      <c r="AE402" s="44"/>
      <c r="AF402" s="44"/>
      <c r="AG402" s="44"/>
      <c r="AH402" s="44"/>
      <c r="AI402" s="44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40"/>
      <c r="AA403" s="39"/>
      <c r="AB403" s="44"/>
      <c r="AC403" s="44"/>
      <c r="AD403" s="44"/>
      <c r="AE403" s="44"/>
      <c r="AF403" s="44"/>
      <c r="AG403" s="44"/>
      <c r="AH403" s="44"/>
      <c r="AI403" s="44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40"/>
      <c r="AA404" s="39"/>
      <c r="AB404" s="44"/>
      <c r="AC404" s="44"/>
      <c r="AD404" s="44"/>
      <c r="AE404" s="44"/>
      <c r="AF404" s="44"/>
      <c r="AG404" s="44"/>
      <c r="AH404" s="44"/>
      <c r="AI404" s="44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40"/>
      <c r="AA405" s="39"/>
      <c r="AB405" s="44"/>
      <c r="AC405" s="44"/>
      <c r="AD405" s="44"/>
      <c r="AE405" s="44"/>
      <c r="AF405" s="44"/>
      <c r="AG405" s="44"/>
      <c r="AH405" s="44"/>
      <c r="AI405" s="44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40"/>
      <c r="AA406" s="39"/>
      <c r="AB406" s="44"/>
      <c r="AC406" s="44"/>
      <c r="AD406" s="44"/>
      <c r="AE406" s="44"/>
      <c r="AF406" s="44"/>
      <c r="AG406" s="44"/>
      <c r="AH406" s="44"/>
      <c r="AI406" s="44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40"/>
      <c r="AA407" s="39"/>
      <c r="AB407" s="44"/>
      <c r="AC407" s="44"/>
      <c r="AD407" s="44"/>
      <c r="AE407" s="44"/>
      <c r="AF407" s="44"/>
      <c r="AG407" s="44"/>
      <c r="AH407" s="44"/>
      <c r="AI407" s="44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39"/>
      <c r="AB408" s="44"/>
      <c r="AC408" s="44"/>
      <c r="AD408" s="44"/>
      <c r="AE408" s="44"/>
      <c r="AF408" s="44"/>
      <c r="AG408" s="44"/>
      <c r="AH408" s="44"/>
      <c r="AI408" s="44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40"/>
      <c r="AA409" s="39"/>
      <c r="AB409" s="44"/>
      <c r="AC409" s="44"/>
      <c r="AD409" s="44"/>
      <c r="AE409" s="44"/>
      <c r="AF409" s="44"/>
      <c r="AG409" s="44"/>
      <c r="AH409" s="44"/>
      <c r="AI409" s="44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40"/>
      <c r="AA410" s="39"/>
      <c r="AB410" s="44"/>
      <c r="AC410" s="44"/>
      <c r="AD410" s="44"/>
      <c r="AE410" s="44"/>
      <c r="AF410" s="44"/>
      <c r="AG410" s="44"/>
      <c r="AH410" s="44"/>
      <c r="AI410" s="44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40"/>
      <c r="AA411" s="39"/>
      <c r="AB411" s="44"/>
      <c r="AC411" s="44"/>
      <c r="AD411" s="44"/>
      <c r="AE411" s="44"/>
      <c r="AF411" s="44"/>
      <c r="AG411" s="44"/>
      <c r="AH411" s="44"/>
      <c r="AI411" s="44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40"/>
      <c r="AA412" s="39"/>
      <c r="AB412" s="44"/>
      <c r="AC412" s="44"/>
      <c r="AD412" s="44"/>
      <c r="AE412" s="44"/>
      <c r="AF412" s="44"/>
      <c r="AG412" s="44"/>
      <c r="AH412" s="44"/>
      <c r="AI412" s="44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40"/>
      <c r="AA413" s="39"/>
      <c r="AB413" s="44"/>
      <c r="AC413" s="44"/>
      <c r="AD413" s="44"/>
      <c r="AE413" s="44"/>
      <c r="AF413" s="44"/>
      <c r="AG413" s="44"/>
      <c r="AH413" s="44"/>
      <c r="AI413" s="44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40"/>
      <c r="AA414" s="39"/>
      <c r="AB414" s="44"/>
      <c r="AC414" s="44"/>
      <c r="AD414" s="44"/>
      <c r="AE414" s="44"/>
      <c r="AF414" s="44"/>
      <c r="AG414" s="44"/>
      <c r="AH414" s="44"/>
      <c r="AI414" s="44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40"/>
      <c r="AA415" s="39"/>
      <c r="AB415" s="44"/>
      <c r="AC415" s="44"/>
      <c r="AD415" s="44"/>
      <c r="AE415" s="44"/>
      <c r="AF415" s="44"/>
      <c r="AG415" s="44"/>
      <c r="AH415" s="44"/>
      <c r="AI415" s="44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40"/>
      <c r="AA416" s="39"/>
      <c r="AB416" s="44"/>
      <c r="AC416" s="44"/>
      <c r="AD416" s="44"/>
      <c r="AE416" s="44"/>
      <c r="AF416" s="44"/>
      <c r="AG416" s="44"/>
      <c r="AH416" s="44"/>
      <c r="AI416" s="44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40"/>
      <c r="AA417" s="39"/>
      <c r="AB417" s="44"/>
      <c r="AC417" s="44"/>
      <c r="AD417" s="44"/>
      <c r="AE417" s="44"/>
      <c r="AF417" s="44"/>
      <c r="AG417" s="44"/>
      <c r="AH417" s="44"/>
      <c r="AI417" s="44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40"/>
      <c r="AA418" s="39"/>
      <c r="AB418" s="44"/>
      <c r="AC418" s="44"/>
      <c r="AD418" s="44"/>
      <c r="AE418" s="44"/>
      <c r="AF418" s="44"/>
      <c r="AG418" s="44"/>
      <c r="AH418" s="44"/>
      <c r="AI418" s="44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40"/>
      <c r="AA419" s="39"/>
      <c r="AB419" s="44"/>
      <c r="AC419" s="44"/>
      <c r="AD419" s="44"/>
      <c r="AE419" s="44"/>
      <c r="AF419" s="44"/>
      <c r="AG419" s="44"/>
      <c r="AH419" s="44"/>
      <c r="AI419" s="44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40"/>
      <c r="AA420" s="39"/>
      <c r="AB420" s="44"/>
      <c r="AC420" s="44"/>
      <c r="AD420" s="44"/>
      <c r="AE420" s="44"/>
      <c r="AF420" s="44"/>
      <c r="AG420" s="44"/>
      <c r="AH420" s="44"/>
      <c r="AI420" s="44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40"/>
      <c r="AA421" s="39"/>
      <c r="AB421" s="44"/>
      <c r="AC421" s="44"/>
      <c r="AD421" s="44"/>
      <c r="AE421" s="44"/>
      <c r="AF421" s="44"/>
      <c r="AG421" s="44"/>
      <c r="AH421" s="44"/>
      <c r="AI421" s="44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40"/>
      <c r="AA422" s="39"/>
      <c r="AB422" s="44"/>
      <c r="AC422" s="44"/>
      <c r="AD422" s="44"/>
      <c r="AE422" s="44"/>
      <c r="AF422" s="44"/>
      <c r="AG422" s="44"/>
      <c r="AH422" s="44"/>
      <c r="AI422" s="44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40"/>
      <c r="AA423" s="39"/>
      <c r="AB423" s="44"/>
      <c r="AC423" s="44"/>
      <c r="AD423" s="44"/>
      <c r="AE423" s="44"/>
      <c r="AF423" s="44"/>
      <c r="AG423" s="44"/>
      <c r="AH423" s="44"/>
      <c r="AI423" s="44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40"/>
      <c r="AA424" s="39"/>
      <c r="AB424" s="44"/>
      <c r="AC424" s="44"/>
      <c r="AD424" s="44"/>
      <c r="AE424" s="44"/>
      <c r="AF424" s="44"/>
      <c r="AG424" s="44"/>
      <c r="AH424" s="44"/>
      <c r="AI424" s="44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40"/>
      <c r="AA425" s="39"/>
      <c r="AB425" s="44"/>
      <c r="AC425" s="44"/>
      <c r="AD425" s="44"/>
      <c r="AE425" s="44"/>
      <c r="AF425" s="44"/>
      <c r="AG425" s="44"/>
      <c r="AH425" s="44"/>
      <c r="AI425" s="44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40"/>
      <c r="AA426" s="39"/>
      <c r="AB426" s="44"/>
      <c r="AC426" s="44"/>
      <c r="AD426" s="44"/>
      <c r="AE426" s="44"/>
      <c r="AF426" s="44"/>
      <c r="AG426" s="44"/>
      <c r="AH426" s="44"/>
      <c r="AI426" s="44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40"/>
      <c r="AA427" s="39"/>
      <c r="AB427" s="44"/>
      <c r="AC427" s="44"/>
      <c r="AD427" s="44"/>
      <c r="AE427" s="44"/>
      <c r="AF427" s="44"/>
      <c r="AG427" s="44"/>
      <c r="AH427" s="44"/>
      <c r="AI427" s="44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40"/>
      <c r="AA428" s="39"/>
      <c r="AB428" s="44"/>
      <c r="AC428" s="44"/>
      <c r="AD428" s="44"/>
      <c r="AE428" s="44"/>
      <c r="AF428" s="44"/>
      <c r="AG428" s="44"/>
      <c r="AH428" s="44"/>
      <c r="AI428" s="44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40"/>
      <c r="AA429" s="39"/>
      <c r="AB429" s="44"/>
      <c r="AC429" s="44"/>
      <c r="AD429" s="44"/>
      <c r="AE429" s="44"/>
      <c r="AF429" s="44"/>
      <c r="AG429" s="44"/>
      <c r="AH429" s="44"/>
      <c r="AI429" s="44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40"/>
      <c r="AA430" s="39"/>
      <c r="AB430" s="44"/>
      <c r="AC430" s="44"/>
      <c r="AD430" s="44"/>
      <c r="AE430" s="44"/>
      <c r="AF430" s="44"/>
      <c r="AG430" s="44"/>
      <c r="AH430" s="44"/>
      <c r="AI430" s="44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40"/>
      <c r="AA431" s="39"/>
      <c r="AB431" s="44"/>
      <c r="AC431" s="44"/>
      <c r="AD431" s="44"/>
      <c r="AE431" s="44"/>
      <c r="AF431" s="44"/>
      <c r="AG431" s="44"/>
      <c r="AH431" s="44"/>
      <c r="AI431" s="44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40"/>
      <c r="AA432" s="39"/>
      <c r="AB432" s="44"/>
      <c r="AC432" s="44"/>
      <c r="AD432" s="44"/>
      <c r="AE432" s="44"/>
      <c r="AF432" s="44"/>
      <c r="AG432" s="44"/>
      <c r="AH432" s="44"/>
      <c r="AI432" s="44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40"/>
      <c r="AA433" s="39"/>
      <c r="AB433" s="44"/>
      <c r="AC433" s="44"/>
      <c r="AD433" s="44"/>
      <c r="AE433" s="44"/>
      <c r="AF433" s="44"/>
      <c r="AG433" s="44"/>
      <c r="AH433" s="44"/>
      <c r="AI433" s="44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40"/>
      <c r="AA434" s="39"/>
      <c r="AB434" s="44"/>
      <c r="AC434" s="44"/>
      <c r="AD434" s="44"/>
      <c r="AE434" s="44"/>
      <c r="AF434" s="44"/>
      <c r="AG434" s="44"/>
      <c r="AH434" s="44"/>
      <c r="AI434" s="44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40"/>
      <c r="AA435" s="39"/>
      <c r="AB435" s="44"/>
      <c r="AC435" s="44"/>
      <c r="AD435" s="44"/>
      <c r="AE435" s="44"/>
      <c r="AF435" s="44"/>
      <c r="AG435" s="44"/>
      <c r="AH435" s="44"/>
      <c r="AI435" s="44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40"/>
      <c r="AA436" s="39"/>
      <c r="AB436" s="44"/>
      <c r="AC436" s="44"/>
      <c r="AD436" s="44"/>
      <c r="AE436" s="44"/>
      <c r="AF436" s="44"/>
      <c r="AG436" s="44"/>
      <c r="AH436" s="44"/>
      <c r="AI436" s="44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40"/>
      <c r="AA437" s="39"/>
      <c r="AB437" s="44"/>
      <c r="AC437" s="44"/>
      <c r="AD437" s="44"/>
      <c r="AE437" s="44"/>
      <c r="AF437" s="44"/>
      <c r="AG437" s="44"/>
      <c r="AH437" s="44"/>
      <c r="AI437" s="44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40"/>
      <c r="AA438" s="39"/>
      <c r="AB438" s="44"/>
      <c r="AC438" s="44"/>
      <c r="AD438" s="44"/>
      <c r="AE438" s="44"/>
      <c r="AF438" s="44"/>
      <c r="AG438" s="44"/>
      <c r="AH438" s="44"/>
      <c r="AI438" s="44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40"/>
      <c r="AA439" s="39"/>
      <c r="AB439" s="44"/>
      <c r="AC439" s="44"/>
      <c r="AD439" s="44"/>
      <c r="AE439" s="44"/>
      <c r="AF439" s="44"/>
      <c r="AG439" s="44"/>
      <c r="AH439" s="44"/>
      <c r="AI439" s="44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40"/>
      <c r="AA440" s="39"/>
      <c r="AB440" s="44"/>
      <c r="AC440" s="44"/>
      <c r="AD440" s="44"/>
      <c r="AE440" s="44"/>
      <c r="AF440" s="44"/>
      <c r="AG440" s="44"/>
      <c r="AH440" s="44"/>
      <c r="AI440" s="44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40"/>
      <c r="AA441" s="39"/>
      <c r="AB441" s="44"/>
      <c r="AC441" s="44"/>
      <c r="AD441" s="44"/>
      <c r="AE441" s="44"/>
      <c r="AF441" s="44"/>
      <c r="AG441" s="44"/>
      <c r="AH441" s="44"/>
      <c r="AI441" s="44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40"/>
      <c r="AA442" s="39"/>
      <c r="AB442" s="44"/>
      <c r="AC442" s="44"/>
      <c r="AD442" s="44"/>
      <c r="AE442" s="44"/>
      <c r="AF442" s="44"/>
      <c r="AG442" s="44"/>
      <c r="AH442" s="44"/>
      <c r="AI442" s="44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40"/>
      <c r="AA443" s="39"/>
      <c r="AB443" s="44"/>
      <c r="AC443" s="44"/>
      <c r="AD443" s="44"/>
      <c r="AE443" s="44"/>
      <c r="AF443" s="44"/>
      <c r="AG443" s="44"/>
      <c r="AH443" s="44"/>
      <c r="AI443" s="44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40"/>
      <c r="AA444" s="39"/>
      <c r="AB444" s="44"/>
      <c r="AC444" s="44"/>
      <c r="AD444" s="44"/>
      <c r="AE444" s="44"/>
      <c r="AF444" s="44"/>
      <c r="AG444" s="44"/>
      <c r="AH444" s="44"/>
      <c r="AI444" s="44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40"/>
      <c r="AA445" s="39"/>
      <c r="AB445" s="44"/>
      <c r="AC445" s="44"/>
      <c r="AD445" s="44"/>
      <c r="AE445" s="44"/>
      <c r="AF445" s="44"/>
      <c r="AG445" s="44"/>
      <c r="AH445" s="44"/>
      <c r="AI445" s="44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39"/>
      <c r="AB446" s="44"/>
      <c r="AC446" s="44"/>
      <c r="AD446" s="44"/>
      <c r="AE446" s="44"/>
      <c r="AF446" s="44"/>
      <c r="AG446" s="44"/>
      <c r="AH446" s="44"/>
      <c r="AI446" s="44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40"/>
      <c r="AA447" s="39"/>
      <c r="AB447" s="44"/>
      <c r="AC447" s="44"/>
      <c r="AD447" s="44"/>
      <c r="AE447" s="44"/>
      <c r="AF447" s="44"/>
      <c r="AG447" s="44"/>
      <c r="AH447" s="44"/>
      <c r="AI447" s="44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40"/>
      <c r="AA448" s="39"/>
      <c r="AB448" s="44"/>
      <c r="AC448" s="44"/>
      <c r="AD448" s="44"/>
      <c r="AE448" s="44"/>
      <c r="AF448" s="44"/>
      <c r="AG448" s="44"/>
      <c r="AH448" s="44"/>
      <c r="AI448" s="44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40"/>
      <c r="AA449" s="39"/>
      <c r="AB449" s="44"/>
      <c r="AC449" s="44"/>
      <c r="AD449" s="44"/>
      <c r="AE449" s="44"/>
      <c r="AF449" s="44"/>
      <c r="AG449" s="44"/>
      <c r="AH449" s="44"/>
      <c r="AI449" s="44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40"/>
      <c r="AA450" s="39"/>
      <c r="AB450" s="44"/>
      <c r="AC450" s="44"/>
      <c r="AD450" s="44"/>
      <c r="AE450" s="44"/>
      <c r="AF450" s="44"/>
      <c r="AG450" s="44"/>
      <c r="AH450" s="44"/>
      <c r="AI450" s="44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40"/>
      <c r="AA451" s="39"/>
      <c r="AB451" s="44"/>
      <c r="AC451" s="44"/>
      <c r="AD451" s="44"/>
      <c r="AE451" s="44"/>
      <c r="AF451" s="44"/>
      <c r="AG451" s="44"/>
      <c r="AH451" s="44"/>
      <c r="AI451" s="44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40"/>
      <c r="AA452" s="39"/>
      <c r="AB452" s="44"/>
      <c r="AC452" s="44"/>
      <c r="AD452" s="44"/>
      <c r="AE452" s="44"/>
      <c r="AF452" s="44"/>
      <c r="AG452" s="44"/>
      <c r="AH452" s="44"/>
      <c r="AI452" s="44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40"/>
      <c r="AA453" s="39"/>
      <c r="AB453" s="44"/>
      <c r="AC453" s="44"/>
      <c r="AD453" s="44"/>
      <c r="AE453" s="44"/>
      <c r="AF453" s="44"/>
      <c r="AG453" s="44"/>
      <c r="AH453" s="44"/>
      <c r="AI453" s="44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40"/>
      <c r="AA454" s="39"/>
      <c r="AB454" s="44"/>
      <c r="AC454" s="44"/>
      <c r="AD454" s="44"/>
      <c r="AE454" s="44"/>
      <c r="AF454" s="44"/>
      <c r="AG454" s="44"/>
      <c r="AH454" s="44"/>
      <c r="AI454" s="44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40"/>
      <c r="AA455" s="39"/>
      <c r="AB455" s="44"/>
      <c r="AC455" s="44"/>
      <c r="AD455" s="44"/>
      <c r="AE455" s="44"/>
      <c r="AF455" s="44"/>
      <c r="AG455" s="44"/>
      <c r="AH455" s="44"/>
      <c r="AI455" s="44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40"/>
      <c r="AA456" s="39"/>
      <c r="AB456" s="44"/>
      <c r="AC456" s="44"/>
      <c r="AD456" s="44"/>
      <c r="AE456" s="44"/>
      <c r="AF456" s="44"/>
      <c r="AG456" s="44"/>
      <c r="AH456" s="44"/>
      <c r="AI456" s="44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40"/>
      <c r="AA457" s="39"/>
      <c r="AB457" s="44"/>
      <c r="AC457" s="44"/>
      <c r="AD457" s="44"/>
      <c r="AE457" s="44"/>
      <c r="AF457" s="44"/>
      <c r="AG457" s="44"/>
      <c r="AH457" s="44"/>
      <c r="AI457" s="44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40"/>
      <c r="AA458" s="39"/>
      <c r="AB458" s="44"/>
      <c r="AC458" s="44"/>
      <c r="AD458" s="44"/>
      <c r="AE458" s="44"/>
      <c r="AF458" s="44"/>
      <c r="AG458" s="44"/>
      <c r="AH458" s="44"/>
      <c r="AI458" s="44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40"/>
      <c r="AA459" s="39"/>
      <c r="AB459" s="44"/>
      <c r="AC459" s="44"/>
      <c r="AD459" s="44"/>
      <c r="AE459" s="44"/>
      <c r="AF459" s="44"/>
      <c r="AG459" s="44"/>
      <c r="AH459" s="44"/>
      <c r="AI459" s="44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40"/>
      <c r="AA460" s="39"/>
      <c r="AB460" s="44"/>
      <c r="AC460" s="44"/>
      <c r="AD460" s="44"/>
      <c r="AE460" s="44"/>
      <c r="AF460" s="44"/>
      <c r="AG460" s="44"/>
      <c r="AH460" s="44"/>
      <c r="AI460" s="44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40"/>
      <c r="AA461" s="39"/>
      <c r="AB461" s="44"/>
      <c r="AC461" s="44"/>
      <c r="AD461" s="44"/>
      <c r="AE461" s="44"/>
      <c r="AF461" s="44"/>
      <c r="AG461" s="44"/>
      <c r="AH461" s="44"/>
      <c r="AI461" s="44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40"/>
      <c r="AA462" s="39"/>
      <c r="AB462" s="44"/>
      <c r="AC462" s="44"/>
      <c r="AD462" s="44"/>
      <c r="AE462" s="44"/>
      <c r="AF462" s="44"/>
      <c r="AG462" s="44"/>
      <c r="AH462" s="44"/>
      <c r="AI462" s="44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40"/>
      <c r="AA463" s="39"/>
      <c r="AB463" s="44"/>
      <c r="AC463" s="44"/>
      <c r="AD463" s="44"/>
      <c r="AE463" s="44"/>
      <c r="AF463" s="44"/>
      <c r="AG463" s="44"/>
      <c r="AH463" s="44"/>
      <c r="AI463" s="44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40"/>
      <c r="AA464" s="39"/>
      <c r="AB464" s="44"/>
      <c r="AC464" s="44"/>
      <c r="AD464" s="44"/>
      <c r="AE464" s="44"/>
      <c r="AF464" s="44"/>
      <c r="AG464" s="44"/>
      <c r="AH464" s="44"/>
      <c r="AI464" s="44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40"/>
      <c r="AA465" s="39"/>
      <c r="AB465" s="44"/>
      <c r="AC465" s="44"/>
      <c r="AD465" s="44"/>
      <c r="AE465" s="44"/>
      <c r="AF465" s="44"/>
      <c r="AG465" s="44"/>
      <c r="AH465" s="44"/>
      <c r="AI465" s="44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40"/>
      <c r="AA466" s="39"/>
      <c r="AB466" s="44"/>
      <c r="AC466" s="44"/>
      <c r="AD466" s="44"/>
      <c r="AE466" s="44"/>
      <c r="AF466" s="44"/>
      <c r="AG466" s="44"/>
      <c r="AH466" s="44"/>
      <c r="AI466" s="44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40"/>
      <c r="AA467" s="39"/>
      <c r="AB467" s="44"/>
      <c r="AC467" s="44"/>
      <c r="AD467" s="44"/>
      <c r="AE467" s="44"/>
      <c r="AF467" s="44"/>
      <c r="AG467" s="44"/>
      <c r="AH467" s="44"/>
      <c r="AI467" s="44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40"/>
      <c r="AA468" s="39"/>
      <c r="AB468" s="44"/>
      <c r="AC468" s="44"/>
      <c r="AD468" s="44"/>
      <c r="AE468" s="44"/>
      <c r="AF468" s="44"/>
      <c r="AG468" s="44"/>
      <c r="AH468" s="44"/>
      <c r="AI468" s="44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40"/>
      <c r="AA469" s="39"/>
      <c r="AB469" s="44"/>
      <c r="AC469" s="44"/>
      <c r="AD469" s="44"/>
      <c r="AE469" s="44"/>
      <c r="AF469" s="44"/>
      <c r="AG469" s="44"/>
      <c r="AH469" s="44"/>
      <c r="AI469" s="44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40"/>
      <c r="AA470" s="39"/>
      <c r="AB470" s="44"/>
      <c r="AC470" s="44"/>
      <c r="AD470" s="44"/>
      <c r="AE470" s="44"/>
      <c r="AF470" s="44"/>
      <c r="AG470" s="44"/>
      <c r="AH470" s="44"/>
      <c r="AI470" s="44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40"/>
      <c r="AA471" s="39"/>
      <c r="AB471" s="44"/>
      <c r="AC471" s="44"/>
      <c r="AD471" s="44"/>
      <c r="AE471" s="44"/>
      <c r="AF471" s="44"/>
      <c r="AG471" s="44"/>
      <c r="AH471" s="44"/>
      <c r="AI471" s="44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40"/>
      <c r="AA472" s="39"/>
      <c r="AB472" s="44"/>
      <c r="AC472" s="44"/>
      <c r="AD472" s="44"/>
      <c r="AE472" s="44"/>
      <c r="AF472" s="44"/>
      <c r="AG472" s="44"/>
      <c r="AH472" s="44"/>
      <c r="AI472" s="44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40"/>
      <c r="AA473" s="39"/>
      <c r="AB473" s="44"/>
      <c r="AC473" s="44"/>
      <c r="AD473" s="44"/>
      <c r="AE473" s="44"/>
      <c r="AF473" s="44"/>
      <c r="AG473" s="44"/>
      <c r="AH473" s="44"/>
      <c r="AI473" s="44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40"/>
      <c r="AA474" s="39"/>
      <c r="AB474" s="44"/>
      <c r="AC474" s="44"/>
      <c r="AD474" s="44"/>
      <c r="AE474" s="44"/>
      <c r="AF474" s="44"/>
      <c r="AG474" s="44"/>
      <c r="AH474" s="44"/>
      <c r="AI474" s="44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40"/>
      <c r="AA475" s="39"/>
      <c r="AB475" s="44"/>
      <c r="AC475" s="44"/>
      <c r="AD475" s="44"/>
      <c r="AE475" s="44"/>
      <c r="AF475" s="44"/>
      <c r="AG475" s="44"/>
      <c r="AH475" s="44"/>
      <c r="AI475" s="44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40"/>
      <c r="AA476" s="39"/>
      <c r="AB476" s="44"/>
      <c r="AC476" s="44"/>
      <c r="AD476" s="44"/>
      <c r="AE476" s="44"/>
      <c r="AF476" s="44"/>
      <c r="AG476" s="44"/>
      <c r="AH476" s="44"/>
      <c r="AI476" s="44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40"/>
      <c r="AA477" s="39"/>
      <c r="AB477" s="44"/>
      <c r="AC477" s="44"/>
      <c r="AD477" s="44"/>
      <c r="AE477" s="44"/>
      <c r="AF477" s="44"/>
      <c r="AG477" s="44"/>
      <c r="AH477" s="44"/>
      <c r="AI477" s="44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40"/>
      <c r="AA478" s="39"/>
      <c r="AB478" s="44"/>
      <c r="AC478" s="44"/>
      <c r="AD478" s="44"/>
      <c r="AE478" s="44"/>
      <c r="AF478" s="44"/>
      <c r="AG478" s="44"/>
      <c r="AH478" s="44"/>
      <c r="AI478" s="44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40"/>
      <c r="AA479" s="39"/>
      <c r="AB479" s="44"/>
      <c r="AC479" s="44"/>
      <c r="AD479" s="44"/>
      <c r="AE479" s="44"/>
      <c r="AF479" s="44"/>
      <c r="AG479" s="44"/>
      <c r="AH479" s="44"/>
      <c r="AI479" s="44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40"/>
      <c r="AA480" s="39"/>
      <c r="AB480" s="44"/>
      <c r="AC480" s="44"/>
      <c r="AD480" s="44"/>
      <c r="AE480" s="44"/>
      <c r="AF480" s="44"/>
      <c r="AG480" s="44"/>
      <c r="AH480" s="44"/>
      <c r="AI480" s="44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40"/>
      <c r="AA481" s="39"/>
      <c r="AB481" s="44"/>
      <c r="AC481" s="44"/>
      <c r="AD481" s="44"/>
      <c r="AE481" s="44"/>
      <c r="AF481" s="44"/>
      <c r="AG481" s="44"/>
      <c r="AH481" s="44"/>
      <c r="AI481" s="44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40"/>
      <c r="AA482" s="39"/>
      <c r="AB482" s="44"/>
      <c r="AC482" s="44"/>
      <c r="AD482" s="44"/>
      <c r="AE482" s="44"/>
      <c r="AF482" s="44"/>
      <c r="AG482" s="44"/>
      <c r="AH482" s="44"/>
      <c r="AI482" s="44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40"/>
      <c r="AA483" s="39"/>
      <c r="AB483" s="44"/>
      <c r="AC483" s="44"/>
      <c r="AD483" s="44"/>
      <c r="AE483" s="44"/>
      <c r="AF483" s="44"/>
      <c r="AG483" s="44"/>
      <c r="AH483" s="44"/>
      <c r="AI483" s="44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39"/>
      <c r="AB484" s="44"/>
      <c r="AC484" s="44"/>
      <c r="AD484" s="44"/>
      <c r="AE484" s="44"/>
      <c r="AF484" s="44"/>
      <c r="AG484" s="44"/>
      <c r="AH484" s="44"/>
      <c r="AI484" s="44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40"/>
      <c r="AA485" s="39"/>
      <c r="AB485" s="44"/>
      <c r="AC485" s="44"/>
      <c r="AD485" s="44"/>
      <c r="AE485" s="44"/>
      <c r="AF485" s="44"/>
      <c r="AG485" s="44"/>
      <c r="AH485" s="44"/>
      <c r="AI485" s="44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40"/>
      <c r="AA486" s="39"/>
      <c r="AB486" s="44"/>
      <c r="AC486" s="44"/>
      <c r="AD486" s="44"/>
      <c r="AE486" s="44"/>
      <c r="AF486" s="44"/>
      <c r="AG486" s="44"/>
      <c r="AH486" s="44"/>
      <c r="AI486" s="44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40"/>
      <c r="AA487" s="39"/>
      <c r="AB487" s="44"/>
      <c r="AC487" s="44"/>
      <c r="AD487" s="44"/>
      <c r="AE487" s="44"/>
      <c r="AF487" s="44"/>
      <c r="AG487" s="44"/>
      <c r="AH487" s="44"/>
      <c r="AI487" s="44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40"/>
      <c r="AA488" s="39"/>
      <c r="AB488" s="44"/>
      <c r="AC488" s="44"/>
      <c r="AD488" s="44"/>
      <c r="AE488" s="44"/>
      <c r="AF488" s="44"/>
      <c r="AG488" s="44"/>
      <c r="AH488" s="44"/>
      <c r="AI488" s="44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40"/>
      <c r="AA489" s="39"/>
      <c r="AB489" s="44"/>
      <c r="AC489" s="44"/>
      <c r="AD489" s="44"/>
      <c r="AE489" s="44"/>
      <c r="AF489" s="44"/>
      <c r="AG489" s="44"/>
      <c r="AH489" s="44"/>
      <c r="AI489" s="44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40"/>
      <c r="AA490" s="39"/>
      <c r="AB490" s="44"/>
      <c r="AC490" s="44"/>
      <c r="AD490" s="44"/>
      <c r="AE490" s="44"/>
      <c r="AF490" s="44"/>
      <c r="AG490" s="44"/>
      <c r="AH490" s="44"/>
      <c r="AI490" s="44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40"/>
      <c r="AA491" s="39"/>
      <c r="AB491" s="44"/>
      <c r="AC491" s="44"/>
      <c r="AD491" s="44"/>
      <c r="AE491" s="44"/>
      <c r="AF491" s="44"/>
      <c r="AG491" s="44"/>
      <c r="AH491" s="44"/>
      <c r="AI491" s="44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40"/>
      <c r="AA492" s="39"/>
      <c r="AB492" s="44"/>
      <c r="AC492" s="44"/>
      <c r="AD492" s="44"/>
      <c r="AE492" s="44"/>
      <c r="AF492" s="44"/>
      <c r="AG492" s="44"/>
      <c r="AH492" s="44"/>
      <c r="AI492" s="44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40"/>
      <c r="AA493" s="39"/>
      <c r="AB493" s="44"/>
      <c r="AC493" s="44"/>
      <c r="AD493" s="44"/>
      <c r="AE493" s="44"/>
      <c r="AF493" s="44"/>
      <c r="AG493" s="44"/>
      <c r="AH493" s="44"/>
      <c r="AI493" s="44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40"/>
      <c r="AA494" s="39"/>
      <c r="AB494" s="44"/>
      <c r="AC494" s="44"/>
      <c r="AD494" s="44"/>
      <c r="AE494" s="44"/>
      <c r="AF494" s="44"/>
      <c r="AG494" s="44"/>
      <c r="AH494" s="44"/>
      <c r="AI494" s="44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40"/>
      <c r="AA495" s="39"/>
      <c r="AB495" s="44"/>
      <c r="AC495" s="44"/>
      <c r="AD495" s="44"/>
      <c r="AE495" s="44"/>
      <c r="AF495" s="44"/>
      <c r="AG495" s="44"/>
      <c r="AH495" s="44"/>
      <c r="AI495" s="44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40"/>
      <c r="AA496" s="39"/>
      <c r="AB496" s="44"/>
      <c r="AC496" s="44"/>
      <c r="AD496" s="44"/>
      <c r="AE496" s="44"/>
      <c r="AF496" s="44"/>
      <c r="AG496" s="44"/>
      <c r="AH496" s="44"/>
      <c r="AI496" s="44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40"/>
      <c r="AA497" s="39"/>
      <c r="AB497" s="44"/>
      <c r="AC497" s="44"/>
      <c r="AD497" s="44"/>
      <c r="AE497" s="44"/>
      <c r="AF497" s="44"/>
      <c r="AG497" s="44"/>
      <c r="AH497" s="44"/>
      <c r="AI497" s="44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40"/>
      <c r="AA498" s="39"/>
      <c r="AB498" s="44"/>
      <c r="AC498" s="44"/>
      <c r="AD498" s="44"/>
      <c r="AE498" s="44"/>
      <c r="AF498" s="44"/>
      <c r="AG498" s="44"/>
      <c r="AH498" s="44"/>
      <c r="AI498" s="44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40"/>
      <c r="AA499" s="39"/>
      <c r="AB499" s="44"/>
      <c r="AC499" s="44"/>
      <c r="AD499" s="44"/>
      <c r="AE499" s="44"/>
      <c r="AF499" s="44"/>
      <c r="AG499" s="44"/>
      <c r="AH499" s="44"/>
      <c r="AI499" s="44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40"/>
      <c r="AA500" s="39"/>
      <c r="AB500" s="44"/>
      <c r="AC500" s="44"/>
      <c r="AD500" s="44"/>
      <c r="AE500" s="44"/>
      <c r="AF500" s="44"/>
      <c r="AG500" s="44"/>
      <c r="AH500" s="44"/>
      <c r="AI500" s="44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40"/>
      <c r="AA501" s="39"/>
      <c r="AB501" s="44"/>
      <c r="AC501" s="44"/>
      <c r="AD501" s="44"/>
      <c r="AE501" s="44"/>
      <c r="AF501" s="44"/>
      <c r="AG501" s="44"/>
      <c r="AH501" s="44"/>
      <c r="AI501" s="44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40"/>
      <c r="AA502" s="39"/>
      <c r="AB502" s="44"/>
      <c r="AC502" s="44"/>
      <c r="AD502" s="44"/>
      <c r="AE502" s="44"/>
      <c r="AF502" s="44"/>
      <c r="AG502" s="44"/>
      <c r="AH502" s="44"/>
      <c r="AI502" s="44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40"/>
      <c r="AA503" s="39"/>
      <c r="AB503" s="44"/>
      <c r="AC503" s="44"/>
      <c r="AD503" s="44"/>
      <c r="AE503" s="44"/>
      <c r="AF503" s="44"/>
      <c r="AG503" s="44"/>
      <c r="AH503" s="44"/>
      <c r="AI503" s="44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40"/>
      <c r="AA504" s="39"/>
      <c r="AB504" s="44"/>
      <c r="AC504" s="44"/>
      <c r="AD504" s="44"/>
      <c r="AE504" s="44"/>
      <c r="AF504" s="44"/>
      <c r="AG504" s="44"/>
      <c r="AH504" s="44"/>
      <c r="AI504" s="44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40"/>
      <c r="AA505" s="39"/>
      <c r="AB505" s="44"/>
      <c r="AC505" s="44"/>
      <c r="AD505" s="44"/>
      <c r="AE505" s="44"/>
      <c r="AF505" s="44"/>
      <c r="AG505" s="44"/>
      <c r="AH505" s="44"/>
      <c r="AI505" s="44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40"/>
      <c r="AA506" s="39"/>
      <c r="AB506" s="44"/>
      <c r="AC506" s="44"/>
      <c r="AD506" s="44"/>
      <c r="AE506" s="44"/>
      <c r="AF506" s="44"/>
      <c r="AG506" s="44"/>
      <c r="AH506" s="44"/>
      <c r="AI506" s="44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40"/>
      <c r="AA507" s="39"/>
      <c r="AB507" s="44"/>
      <c r="AC507" s="44"/>
      <c r="AD507" s="44"/>
      <c r="AE507" s="44"/>
      <c r="AF507" s="44"/>
      <c r="AG507" s="44"/>
      <c r="AH507" s="44"/>
      <c r="AI507" s="44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40"/>
      <c r="AA508" s="39"/>
      <c r="AB508" s="44"/>
      <c r="AC508" s="44"/>
      <c r="AD508" s="44"/>
      <c r="AE508" s="44"/>
      <c r="AF508" s="44"/>
      <c r="AG508" s="44"/>
      <c r="AH508" s="44"/>
      <c r="AI508" s="44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40"/>
      <c r="AA509" s="39"/>
      <c r="AB509" s="44"/>
      <c r="AC509" s="44"/>
      <c r="AD509" s="44"/>
      <c r="AE509" s="44"/>
      <c r="AF509" s="44"/>
      <c r="AG509" s="44"/>
      <c r="AH509" s="44"/>
      <c r="AI509" s="44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40"/>
      <c r="AA510" s="39"/>
      <c r="AB510" s="44"/>
      <c r="AC510" s="44"/>
      <c r="AD510" s="44"/>
      <c r="AE510" s="44"/>
      <c r="AF510" s="44"/>
      <c r="AG510" s="44"/>
      <c r="AH510" s="44"/>
      <c r="AI510" s="44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40"/>
      <c r="AA511" s="39"/>
      <c r="AB511" s="44"/>
      <c r="AC511" s="44"/>
      <c r="AD511" s="44"/>
      <c r="AE511" s="44"/>
      <c r="AF511" s="44"/>
      <c r="AG511" s="44"/>
      <c r="AH511" s="44"/>
      <c r="AI511" s="44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40"/>
      <c r="AA512" s="39"/>
      <c r="AB512" s="44"/>
      <c r="AC512" s="44"/>
      <c r="AD512" s="44"/>
      <c r="AE512" s="44"/>
      <c r="AF512" s="44"/>
      <c r="AG512" s="44"/>
      <c r="AH512" s="44"/>
      <c r="AI512" s="44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40"/>
      <c r="AA513" s="39"/>
      <c r="AB513" s="44"/>
      <c r="AC513" s="44"/>
      <c r="AD513" s="44"/>
      <c r="AE513" s="44"/>
      <c r="AF513" s="44"/>
      <c r="AG513" s="44"/>
      <c r="AH513" s="44"/>
      <c r="AI513" s="44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40"/>
      <c r="AA514" s="39"/>
      <c r="AB514" s="44"/>
      <c r="AC514" s="44"/>
      <c r="AD514" s="44"/>
      <c r="AE514" s="44"/>
      <c r="AF514" s="44"/>
      <c r="AG514" s="44"/>
      <c r="AH514" s="44"/>
      <c r="AI514" s="44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40"/>
      <c r="AA515" s="39"/>
      <c r="AB515" s="44"/>
      <c r="AC515" s="44"/>
      <c r="AD515" s="44"/>
      <c r="AE515" s="44"/>
      <c r="AF515" s="44"/>
      <c r="AG515" s="44"/>
      <c r="AH515" s="44"/>
      <c r="AI515" s="44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40"/>
      <c r="AA516" s="39"/>
      <c r="AB516" s="44"/>
      <c r="AC516" s="44"/>
      <c r="AD516" s="44"/>
      <c r="AE516" s="44"/>
      <c r="AF516" s="44"/>
      <c r="AG516" s="44"/>
      <c r="AH516" s="44"/>
      <c r="AI516" s="44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40"/>
      <c r="AA517" s="39"/>
      <c r="AB517" s="44"/>
      <c r="AC517" s="44"/>
      <c r="AD517" s="44"/>
      <c r="AE517" s="44"/>
      <c r="AF517" s="44"/>
      <c r="AG517" s="44"/>
      <c r="AH517" s="44"/>
      <c r="AI517" s="44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40"/>
      <c r="AA518" s="39"/>
      <c r="AB518" s="44"/>
      <c r="AC518" s="44"/>
      <c r="AD518" s="44"/>
      <c r="AE518" s="44"/>
      <c r="AF518" s="44"/>
      <c r="AG518" s="44"/>
      <c r="AH518" s="44"/>
      <c r="AI518" s="44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40"/>
      <c r="AA519" s="39"/>
      <c r="AB519" s="44"/>
      <c r="AC519" s="44"/>
      <c r="AD519" s="44"/>
      <c r="AE519" s="44"/>
      <c r="AF519" s="44"/>
      <c r="AG519" s="44"/>
      <c r="AH519" s="44"/>
      <c r="AI519" s="44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40"/>
      <c r="AA520" s="39"/>
      <c r="AB520" s="44"/>
      <c r="AC520" s="44"/>
      <c r="AD520" s="44"/>
      <c r="AE520" s="44"/>
      <c r="AF520" s="44"/>
      <c r="AG520" s="44"/>
      <c r="AH520" s="44"/>
      <c r="AI520" s="44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40"/>
      <c r="AA521" s="39"/>
      <c r="AB521" s="44"/>
      <c r="AC521" s="44"/>
      <c r="AD521" s="44"/>
      <c r="AE521" s="44"/>
      <c r="AF521" s="44"/>
      <c r="AG521" s="44"/>
      <c r="AH521" s="44"/>
      <c r="AI521" s="44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39"/>
      <c r="AB522" s="44"/>
      <c r="AC522" s="44"/>
      <c r="AD522" s="44"/>
      <c r="AE522" s="44"/>
      <c r="AF522" s="44"/>
      <c r="AG522" s="44"/>
      <c r="AH522" s="44"/>
      <c r="AI522" s="44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40"/>
      <c r="AA523" s="39"/>
      <c r="AB523" s="44"/>
      <c r="AC523" s="44"/>
      <c r="AD523" s="44"/>
      <c r="AE523" s="44"/>
      <c r="AF523" s="44"/>
      <c r="AG523" s="44"/>
      <c r="AH523" s="44"/>
      <c r="AI523" s="44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40"/>
      <c r="AA524" s="39"/>
      <c r="AB524" s="44"/>
      <c r="AC524" s="44"/>
      <c r="AD524" s="44"/>
      <c r="AE524" s="44"/>
      <c r="AF524" s="44"/>
      <c r="AG524" s="44"/>
      <c r="AH524" s="44"/>
      <c r="AI524" s="44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40"/>
      <c r="AA525" s="39"/>
      <c r="AB525" s="44"/>
      <c r="AC525" s="44"/>
      <c r="AD525" s="44"/>
      <c r="AE525" s="44"/>
      <c r="AF525" s="44"/>
      <c r="AG525" s="44"/>
      <c r="AH525" s="44"/>
      <c r="AI525" s="44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40"/>
      <c r="AA526" s="39"/>
      <c r="AB526" s="44"/>
      <c r="AC526" s="44"/>
      <c r="AD526" s="44"/>
      <c r="AE526" s="44"/>
      <c r="AF526" s="44"/>
      <c r="AG526" s="44"/>
      <c r="AH526" s="44"/>
      <c r="AI526" s="44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40"/>
      <c r="AA527" s="39"/>
      <c r="AB527" s="44"/>
      <c r="AC527" s="44"/>
      <c r="AD527" s="44"/>
      <c r="AE527" s="44"/>
      <c r="AF527" s="44"/>
      <c r="AG527" s="44"/>
      <c r="AH527" s="44"/>
      <c r="AI527" s="44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40"/>
      <c r="AA528" s="39"/>
      <c r="AB528" s="44"/>
      <c r="AC528" s="44"/>
      <c r="AD528" s="44"/>
      <c r="AE528" s="44"/>
      <c r="AF528" s="44"/>
      <c r="AG528" s="44"/>
      <c r="AH528" s="44"/>
      <c r="AI528" s="44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40"/>
      <c r="AA529" s="39"/>
      <c r="AB529" s="44"/>
      <c r="AC529" s="44"/>
      <c r="AD529" s="44"/>
      <c r="AE529" s="44"/>
      <c r="AF529" s="44"/>
      <c r="AG529" s="44"/>
      <c r="AH529" s="44"/>
      <c r="AI529" s="44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40"/>
      <c r="AA530" s="39"/>
      <c r="AB530" s="44"/>
      <c r="AC530" s="44"/>
      <c r="AD530" s="44"/>
      <c r="AE530" s="44"/>
      <c r="AF530" s="44"/>
      <c r="AG530" s="44"/>
      <c r="AH530" s="44"/>
      <c r="AI530" s="44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40"/>
      <c r="AA531" s="39"/>
      <c r="AB531" s="44"/>
      <c r="AC531" s="44"/>
      <c r="AD531" s="44"/>
      <c r="AE531" s="44"/>
      <c r="AF531" s="44"/>
      <c r="AG531" s="44"/>
      <c r="AH531" s="44"/>
      <c r="AI531" s="44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40"/>
      <c r="AA532" s="39"/>
      <c r="AB532" s="44"/>
      <c r="AC532" s="44"/>
      <c r="AD532" s="44"/>
      <c r="AE532" s="44"/>
      <c r="AF532" s="44"/>
      <c r="AG532" s="44"/>
      <c r="AH532" s="44"/>
      <c r="AI532" s="44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40"/>
      <c r="AA533" s="39"/>
      <c r="AB533" s="44"/>
      <c r="AC533" s="44"/>
      <c r="AD533" s="44"/>
      <c r="AE533" s="44"/>
      <c r="AF533" s="44"/>
      <c r="AG533" s="44"/>
      <c r="AH533" s="44"/>
      <c r="AI533" s="44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40"/>
      <c r="AA534" s="39"/>
      <c r="AB534" s="44"/>
      <c r="AC534" s="44"/>
      <c r="AD534" s="44"/>
      <c r="AE534" s="44"/>
      <c r="AF534" s="44"/>
      <c r="AG534" s="44"/>
      <c r="AH534" s="44"/>
      <c r="AI534" s="44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40"/>
      <c r="AA535" s="39"/>
      <c r="AB535" s="44"/>
      <c r="AC535" s="44"/>
      <c r="AD535" s="44"/>
      <c r="AE535" s="44"/>
      <c r="AF535" s="44"/>
      <c r="AG535" s="44"/>
      <c r="AH535" s="44"/>
      <c r="AI535" s="44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40"/>
      <c r="AA536" s="39"/>
      <c r="AB536" s="44"/>
      <c r="AC536" s="44"/>
      <c r="AD536" s="44"/>
      <c r="AE536" s="44"/>
      <c r="AF536" s="44"/>
      <c r="AG536" s="44"/>
      <c r="AH536" s="44"/>
      <c r="AI536" s="44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40"/>
      <c r="AA537" s="39"/>
      <c r="AB537" s="44"/>
      <c r="AC537" s="44"/>
      <c r="AD537" s="44"/>
      <c r="AE537" s="44"/>
      <c r="AF537" s="44"/>
      <c r="AG537" s="44"/>
      <c r="AH537" s="44"/>
      <c r="AI537" s="44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40"/>
      <c r="AA538" s="39"/>
      <c r="AB538" s="44"/>
      <c r="AC538" s="44"/>
      <c r="AD538" s="44"/>
      <c r="AE538" s="44"/>
      <c r="AF538" s="44"/>
      <c r="AG538" s="44"/>
      <c r="AH538" s="44"/>
      <c r="AI538" s="44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40"/>
      <c r="AA539" s="39"/>
      <c r="AB539" s="44"/>
      <c r="AC539" s="44"/>
      <c r="AD539" s="44"/>
      <c r="AE539" s="44"/>
      <c r="AF539" s="44"/>
      <c r="AG539" s="44"/>
      <c r="AH539" s="44"/>
      <c r="AI539" s="44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40"/>
      <c r="AA540" s="39"/>
      <c r="AB540" s="44"/>
      <c r="AC540" s="44"/>
      <c r="AD540" s="44"/>
      <c r="AE540" s="44"/>
      <c r="AF540" s="44"/>
      <c r="AG540" s="44"/>
      <c r="AH540" s="44"/>
      <c r="AI540" s="44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40"/>
      <c r="AA541" s="39"/>
      <c r="AB541" s="44"/>
      <c r="AC541" s="44"/>
      <c r="AD541" s="44"/>
      <c r="AE541" s="44"/>
      <c r="AF541" s="44"/>
      <c r="AG541" s="44"/>
      <c r="AH541" s="44"/>
      <c r="AI541" s="44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40"/>
      <c r="AA542" s="39"/>
      <c r="AB542" s="44"/>
      <c r="AC542" s="44"/>
      <c r="AD542" s="44"/>
      <c r="AE542" s="44"/>
      <c r="AF542" s="44"/>
      <c r="AG542" s="44"/>
      <c r="AH542" s="44"/>
      <c r="AI542" s="44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40"/>
      <c r="AA543" s="39"/>
      <c r="AB543" s="44"/>
      <c r="AC543" s="44"/>
      <c r="AD543" s="44"/>
      <c r="AE543" s="44"/>
      <c r="AF543" s="44"/>
      <c r="AG543" s="44"/>
      <c r="AH543" s="44"/>
      <c r="AI543" s="44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40"/>
      <c r="AA544" s="39"/>
      <c r="AB544" s="44"/>
      <c r="AC544" s="44"/>
      <c r="AD544" s="44"/>
      <c r="AE544" s="44"/>
      <c r="AF544" s="44"/>
      <c r="AG544" s="44"/>
      <c r="AH544" s="44"/>
      <c r="AI544" s="44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40"/>
      <c r="AA545" s="39"/>
      <c r="AB545" s="44"/>
      <c r="AC545" s="44"/>
      <c r="AD545" s="44"/>
      <c r="AE545" s="44"/>
      <c r="AF545" s="44"/>
      <c r="AG545" s="44"/>
      <c r="AH545" s="44"/>
      <c r="AI545" s="44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40"/>
      <c r="AA546" s="39"/>
      <c r="AB546" s="44"/>
      <c r="AC546" s="44"/>
      <c r="AD546" s="44"/>
      <c r="AE546" s="44"/>
      <c r="AF546" s="44"/>
      <c r="AG546" s="44"/>
      <c r="AH546" s="44"/>
      <c r="AI546" s="44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40"/>
      <c r="AA547" s="39"/>
      <c r="AB547" s="44"/>
      <c r="AC547" s="44"/>
      <c r="AD547" s="44"/>
      <c r="AE547" s="44"/>
      <c r="AF547" s="44"/>
      <c r="AG547" s="44"/>
      <c r="AH547" s="44"/>
      <c r="AI547" s="44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40"/>
      <c r="AA548" s="39"/>
      <c r="AB548" s="44"/>
      <c r="AC548" s="44"/>
      <c r="AD548" s="44"/>
      <c r="AE548" s="44"/>
      <c r="AF548" s="44"/>
      <c r="AG548" s="44"/>
      <c r="AH548" s="44"/>
      <c r="AI548" s="44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40"/>
      <c r="AA549" s="39"/>
      <c r="AB549" s="44"/>
      <c r="AC549" s="44"/>
      <c r="AD549" s="44"/>
      <c r="AE549" s="44"/>
      <c r="AF549" s="44"/>
      <c r="AG549" s="44"/>
      <c r="AH549" s="44"/>
      <c r="AI549" s="44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40"/>
      <c r="AA550" s="39"/>
      <c r="AB550" s="44"/>
      <c r="AC550" s="44"/>
      <c r="AD550" s="44"/>
      <c r="AE550" s="44"/>
      <c r="AF550" s="44"/>
      <c r="AG550" s="44"/>
      <c r="AH550" s="44"/>
      <c r="AI550" s="44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40"/>
      <c r="AA551" s="39"/>
      <c r="AB551" s="44"/>
      <c r="AC551" s="44"/>
      <c r="AD551" s="44"/>
      <c r="AE551" s="44"/>
      <c r="AF551" s="44"/>
      <c r="AG551" s="44"/>
      <c r="AH551" s="44"/>
      <c r="AI551" s="44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40"/>
      <c r="AA552" s="39"/>
      <c r="AB552" s="44"/>
      <c r="AC552" s="44"/>
      <c r="AD552" s="44"/>
      <c r="AE552" s="44"/>
      <c r="AF552" s="44"/>
      <c r="AG552" s="44"/>
      <c r="AH552" s="44"/>
      <c r="AI552" s="44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40"/>
      <c r="AA553" s="39"/>
      <c r="AB553" s="44"/>
      <c r="AC553" s="44"/>
      <c r="AD553" s="44"/>
      <c r="AE553" s="44"/>
      <c r="AF553" s="44"/>
      <c r="AG553" s="44"/>
      <c r="AH553" s="44"/>
      <c r="AI553" s="44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40"/>
      <c r="AA554" s="39"/>
      <c r="AB554" s="44"/>
      <c r="AC554" s="44"/>
      <c r="AD554" s="44"/>
      <c r="AE554" s="44"/>
      <c r="AF554" s="44"/>
      <c r="AG554" s="44"/>
      <c r="AH554" s="44"/>
      <c r="AI554" s="44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40"/>
      <c r="AA555" s="39"/>
      <c r="AB555" s="44"/>
      <c r="AC555" s="44"/>
      <c r="AD555" s="44"/>
      <c r="AE555" s="44"/>
      <c r="AF555" s="44"/>
      <c r="AG555" s="44"/>
      <c r="AH555" s="44"/>
      <c r="AI555" s="44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40"/>
      <c r="AA556" s="39"/>
      <c r="AB556" s="44"/>
      <c r="AC556" s="44"/>
      <c r="AD556" s="44"/>
      <c r="AE556" s="44"/>
      <c r="AF556" s="44"/>
      <c r="AG556" s="44"/>
      <c r="AH556" s="44"/>
      <c r="AI556" s="44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40"/>
      <c r="AA557" s="39"/>
      <c r="AB557" s="44"/>
      <c r="AC557" s="44"/>
      <c r="AD557" s="44"/>
      <c r="AE557" s="44"/>
      <c r="AF557" s="44"/>
      <c r="AG557" s="44"/>
      <c r="AH557" s="44"/>
      <c r="AI557" s="44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40"/>
      <c r="AA558" s="39"/>
      <c r="AB558" s="44"/>
      <c r="AC558" s="44"/>
      <c r="AD558" s="44"/>
      <c r="AE558" s="44"/>
      <c r="AF558" s="44"/>
      <c r="AG558" s="44"/>
      <c r="AH558" s="44"/>
      <c r="AI558" s="44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40"/>
      <c r="AA559" s="39"/>
      <c r="AB559" s="44"/>
      <c r="AC559" s="44"/>
      <c r="AD559" s="44"/>
      <c r="AE559" s="44"/>
      <c r="AF559" s="44"/>
      <c r="AG559" s="44"/>
      <c r="AH559" s="44"/>
      <c r="AI559" s="44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39"/>
      <c r="AB560" s="44"/>
      <c r="AC560" s="44"/>
      <c r="AD560" s="44"/>
      <c r="AE560" s="44"/>
      <c r="AF560" s="44"/>
      <c r="AG560" s="44"/>
      <c r="AH560" s="44"/>
      <c r="AI560" s="44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40"/>
      <c r="AA561" s="39"/>
      <c r="AB561" s="44"/>
      <c r="AC561" s="44"/>
      <c r="AD561" s="44"/>
      <c r="AE561" s="44"/>
      <c r="AF561" s="44"/>
      <c r="AG561" s="44"/>
      <c r="AH561" s="44"/>
      <c r="AI561" s="44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40"/>
      <c r="AA562" s="39"/>
      <c r="AB562" s="44"/>
      <c r="AC562" s="44"/>
      <c r="AD562" s="44"/>
      <c r="AE562" s="44"/>
      <c r="AF562" s="44"/>
      <c r="AG562" s="44"/>
      <c r="AH562" s="44"/>
      <c r="AI562" s="44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40"/>
      <c r="AA563" s="39"/>
      <c r="AB563" s="44"/>
      <c r="AC563" s="44"/>
      <c r="AD563" s="44"/>
      <c r="AE563" s="44"/>
      <c r="AF563" s="44"/>
      <c r="AG563" s="44"/>
      <c r="AH563" s="44"/>
      <c r="AI563" s="44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40"/>
      <c r="AA564" s="39"/>
      <c r="AB564" s="44"/>
      <c r="AC564" s="44"/>
      <c r="AD564" s="44"/>
      <c r="AE564" s="44"/>
      <c r="AF564" s="44"/>
      <c r="AG564" s="44"/>
      <c r="AH564" s="44"/>
      <c r="AI564" s="44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40"/>
      <c r="AA565" s="39"/>
      <c r="AB565" s="44"/>
      <c r="AC565" s="44"/>
      <c r="AD565" s="44"/>
      <c r="AE565" s="44"/>
      <c r="AF565" s="44"/>
      <c r="AG565" s="44"/>
      <c r="AH565" s="44"/>
      <c r="AI565" s="44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40"/>
      <c r="AA566" s="39"/>
      <c r="AB566" s="44"/>
      <c r="AC566" s="44"/>
      <c r="AD566" s="44"/>
      <c r="AE566" s="44"/>
      <c r="AF566" s="44"/>
      <c r="AG566" s="44"/>
      <c r="AH566" s="44"/>
      <c r="AI566" s="44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40"/>
      <c r="AA567" s="39"/>
      <c r="AB567" s="44"/>
      <c r="AC567" s="44"/>
      <c r="AD567" s="44"/>
      <c r="AE567" s="44"/>
      <c r="AF567" s="44"/>
      <c r="AG567" s="44"/>
      <c r="AH567" s="44"/>
      <c r="AI567" s="44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40"/>
      <c r="AA568" s="39"/>
      <c r="AB568" s="44"/>
      <c r="AC568" s="44"/>
      <c r="AD568" s="44"/>
      <c r="AE568" s="44"/>
      <c r="AF568" s="44"/>
      <c r="AG568" s="44"/>
      <c r="AH568" s="44"/>
      <c r="AI568" s="44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40"/>
      <c r="AA569" s="39"/>
      <c r="AB569" s="44"/>
      <c r="AC569" s="44"/>
      <c r="AD569" s="44"/>
      <c r="AE569" s="44"/>
      <c r="AF569" s="44"/>
      <c r="AG569" s="44"/>
      <c r="AH569" s="44"/>
      <c r="AI569" s="44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40"/>
      <c r="AA570" s="39"/>
      <c r="AB570" s="44"/>
      <c r="AC570" s="44"/>
      <c r="AD570" s="44"/>
      <c r="AE570" s="44"/>
      <c r="AF570" s="44"/>
      <c r="AG570" s="44"/>
      <c r="AH570" s="44"/>
      <c r="AI570" s="44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40"/>
      <c r="AA571" s="39"/>
      <c r="AB571" s="44"/>
      <c r="AC571" s="44"/>
      <c r="AD571" s="44"/>
      <c r="AE571" s="44"/>
      <c r="AF571" s="44"/>
      <c r="AG571" s="44"/>
      <c r="AH571" s="44"/>
      <c r="AI571" s="44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40"/>
      <c r="AA572" s="39"/>
      <c r="AB572" s="44"/>
      <c r="AC572" s="44"/>
      <c r="AD572" s="44"/>
      <c r="AE572" s="44"/>
      <c r="AF572" s="44"/>
      <c r="AG572" s="44"/>
      <c r="AH572" s="44"/>
      <c r="AI572" s="44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40"/>
      <c r="AA573" s="39"/>
      <c r="AB573" s="44"/>
      <c r="AC573" s="44"/>
      <c r="AD573" s="44"/>
      <c r="AE573" s="44"/>
      <c r="AF573" s="44"/>
      <c r="AG573" s="44"/>
      <c r="AH573" s="44"/>
      <c r="AI573" s="44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40"/>
      <c r="AA574" s="39"/>
      <c r="AB574" s="44"/>
      <c r="AC574" s="44"/>
      <c r="AD574" s="44"/>
      <c r="AE574" s="44"/>
      <c r="AF574" s="44"/>
      <c r="AG574" s="44"/>
      <c r="AH574" s="44"/>
      <c r="AI574" s="44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40"/>
      <c r="AA575" s="39"/>
      <c r="AB575" s="44"/>
      <c r="AC575" s="44"/>
      <c r="AD575" s="44"/>
      <c r="AE575" s="44"/>
      <c r="AF575" s="44"/>
      <c r="AG575" s="44"/>
      <c r="AH575" s="44"/>
      <c r="AI575" s="44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40"/>
      <c r="AA576" s="39"/>
      <c r="AB576" s="44"/>
      <c r="AC576" s="44"/>
      <c r="AD576" s="44"/>
      <c r="AE576" s="44"/>
      <c r="AF576" s="44"/>
      <c r="AG576" s="44"/>
      <c r="AH576" s="44"/>
      <c r="AI576" s="44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40"/>
      <c r="AA577" s="39"/>
      <c r="AB577" s="44"/>
      <c r="AC577" s="44"/>
      <c r="AD577" s="44"/>
      <c r="AE577" s="44"/>
      <c r="AF577" s="44"/>
      <c r="AG577" s="44"/>
      <c r="AH577" s="44"/>
      <c r="AI577" s="44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40"/>
      <c r="AA578" s="39"/>
      <c r="AB578" s="44"/>
      <c r="AC578" s="44"/>
      <c r="AD578" s="44"/>
      <c r="AE578" s="44"/>
      <c r="AF578" s="44"/>
      <c r="AG578" s="44"/>
      <c r="AH578" s="44"/>
      <c r="AI578" s="44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40"/>
      <c r="AA579" s="39"/>
      <c r="AB579" s="44"/>
      <c r="AC579" s="44"/>
      <c r="AD579" s="44"/>
      <c r="AE579" s="44"/>
      <c r="AF579" s="44"/>
      <c r="AG579" s="44"/>
      <c r="AH579" s="44"/>
      <c r="AI579" s="44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40"/>
      <c r="AA580" s="39"/>
      <c r="AB580" s="44"/>
      <c r="AC580" s="44"/>
      <c r="AD580" s="44"/>
      <c r="AE580" s="44"/>
      <c r="AF580" s="44"/>
      <c r="AG580" s="44"/>
      <c r="AH580" s="44"/>
      <c r="AI580" s="44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40"/>
      <c r="AA581" s="39"/>
      <c r="AB581" s="44"/>
      <c r="AC581" s="44"/>
      <c r="AD581" s="44"/>
      <c r="AE581" s="44"/>
      <c r="AF581" s="44"/>
      <c r="AG581" s="44"/>
      <c r="AH581" s="44"/>
      <c r="AI581" s="44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40"/>
      <c r="AA582" s="39"/>
      <c r="AB582" s="44"/>
      <c r="AC582" s="44"/>
      <c r="AD582" s="44"/>
      <c r="AE582" s="44"/>
      <c r="AF582" s="44"/>
      <c r="AG582" s="44"/>
      <c r="AH582" s="44"/>
      <c r="AI582" s="44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40"/>
      <c r="AA583" s="39"/>
      <c r="AB583" s="44"/>
      <c r="AC583" s="44"/>
      <c r="AD583" s="44"/>
      <c r="AE583" s="44"/>
      <c r="AF583" s="44"/>
      <c r="AG583" s="44"/>
      <c r="AH583" s="44"/>
      <c r="AI583" s="44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40"/>
      <c r="AA584" s="39"/>
      <c r="AB584" s="44"/>
      <c r="AC584" s="44"/>
      <c r="AD584" s="44"/>
      <c r="AE584" s="44"/>
      <c r="AF584" s="44"/>
      <c r="AG584" s="44"/>
      <c r="AH584" s="44"/>
      <c r="AI584" s="44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40"/>
      <c r="AA585" s="39"/>
      <c r="AB585" s="44"/>
      <c r="AC585" s="44"/>
      <c r="AD585" s="44"/>
      <c r="AE585" s="44"/>
      <c r="AF585" s="44"/>
      <c r="AG585" s="44"/>
      <c r="AH585" s="44"/>
      <c r="AI585" s="44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40"/>
      <c r="AA586" s="39"/>
      <c r="AB586" s="44"/>
      <c r="AC586" s="44"/>
      <c r="AD586" s="44"/>
      <c r="AE586" s="44"/>
      <c r="AF586" s="44"/>
      <c r="AG586" s="44"/>
      <c r="AH586" s="44"/>
      <c r="AI586" s="44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40"/>
      <c r="AA587" s="39"/>
      <c r="AB587" s="44"/>
      <c r="AC587" s="44"/>
      <c r="AD587" s="44"/>
      <c r="AE587" s="44"/>
      <c r="AF587" s="44"/>
      <c r="AG587" s="44"/>
      <c r="AH587" s="44"/>
      <c r="AI587" s="44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40"/>
      <c r="AA588" s="39"/>
      <c r="AB588" s="44"/>
      <c r="AC588" s="44"/>
      <c r="AD588" s="44"/>
      <c r="AE588" s="44"/>
      <c r="AF588" s="44"/>
      <c r="AG588" s="44"/>
      <c r="AH588" s="44"/>
      <c r="AI588" s="44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40"/>
      <c r="AA589" s="39"/>
      <c r="AB589" s="44"/>
      <c r="AC589" s="44"/>
      <c r="AD589" s="44"/>
      <c r="AE589" s="44"/>
      <c r="AF589" s="44"/>
      <c r="AG589" s="44"/>
      <c r="AH589" s="44"/>
      <c r="AI589" s="44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40"/>
      <c r="AA590" s="39"/>
      <c r="AB590" s="44"/>
      <c r="AC590" s="44"/>
      <c r="AD590" s="44"/>
      <c r="AE590" s="44"/>
      <c r="AF590" s="44"/>
      <c r="AG590" s="44"/>
      <c r="AH590" s="44"/>
      <c r="AI590" s="44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40"/>
      <c r="AA591" s="39"/>
      <c r="AB591" s="44"/>
      <c r="AC591" s="44"/>
      <c r="AD591" s="44"/>
      <c r="AE591" s="44"/>
      <c r="AF591" s="44"/>
      <c r="AG591" s="44"/>
      <c r="AH591" s="44"/>
      <c r="AI591" s="44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40"/>
      <c r="AA592" s="39"/>
      <c r="AB592" s="44"/>
      <c r="AC592" s="44"/>
      <c r="AD592" s="44"/>
      <c r="AE592" s="44"/>
      <c r="AF592" s="44"/>
      <c r="AG592" s="44"/>
      <c r="AH592" s="44"/>
      <c r="AI592" s="44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40"/>
      <c r="AA593" s="39"/>
      <c r="AB593" s="44"/>
      <c r="AC593" s="44"/>
      <c r="AD593" s="44"/>
      <c r="AE593" s="44"/>
      <c r="AF593" s="44"/>
      <c r="AG593" s="44"/>
      <c r="AH593" s="44"/>
      <c r="AI593" s="44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40"/>
      <c r="AA594" s="39"/>
      <c r="AB594" s="44"/>
      <c r="AC594" s="44"/>
      <c r="AD594" s="44"/>
      <c r="AE594" s="44"/>
      <c r="AF594" s="44"/>
      <c r="AG594" s="44"/>
      <c r="AH594" s="44"/>
      <c r="AI594" s="44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40"/>
      <c r="AA595" s="39"/>
      <c r="AB595" s="44"/>
      <c r="AC595" s="44"/>
      <c r="AD595" s="44"/>
      <c r="AE595" s="44"/>
      <c r="AF595" s="44"/>
      <c r="AG595" s="44"/>
      <c r="AH595" s="44"/>
      <c r="AI595" s="44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40"/>
      <c r="AA596" s="39"/>
      <c r="AB596" s="44"/>
      <c r="AC596" s="44"/>
      <c r="AD596" s="44"/>
      <c r="AE596" s="44"/>
      <c r="AF596" s="44"/>
      <c r="AG596" s="44"/>
      <c r="AH596" s="44"/>
      <c r="AI596" s="44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40"/>
      <c r="AA597" s="39"/>
      <c r="AB597" s="44"/>
      <c r="AC597" s="44"/>
      <c r="AD597" s="44"/>
      <c r="AE597" s="44"/>
      <c r="AF597" s="44"/>
      <c r="AG597" s="44"/>
      <c r="AH597" s="44"/>
      <c r="AI597" s="44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39"/>
      <c r="AB598" s="44"/>
      <c r="AC598" s="44"/>
      <c r="AD598" s="44"/>
      <c r="AE598" s="44"/>
      <c r="AF598" s="44"/>
      <c r="AG598" s="44"/>
      <c r="AH598" s="44"/>
      <c r="AI598" s="44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40"/>
      <c r="AA599" s="39"/>
      <c r="AB599" s="44"/>
      <c r="AC599" s="44"/>
      <c r="AD599" s="44"/>
      <c r="AE599" s="44"/>
      <c r="AF599" s="44"/>
      <c r="AG599" s="44"/>
      <c r="AH599" s="44"/>
      <c r="AI599" s="44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40"/>
      <c r="AA600" s="39"/>
      <c r="AB600" s="44"/>
      <c r="AC600" s="44"/>
      <c r="AD600" s="44"/>
      <c r="AE600" s="44"/>
      <c r="AF600" s="44"/>
      <c r="AG600" s="44"/>
      <c r="AH600" s="44"/>
      <c r="AI600" s="44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40"/>
      <c r="AA601" s="39"/>
      <c r="AB601" s="44"/>
      <c r="AC601" s="44"/>
      <c r="AD601" s="44"/>
      <c r="AE601" s="44"/>
      <c r="AF601" s="44"/>
      <c r="AG601" s="44"/>
      <c r="AH601" s="44"/>
      <c r="AI601" s="44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40"/>
      <c r="AA602" s="39"/>
      <c r="AB602" s="44"/>
      <c r="AC602" s="44"/>
      <c r="AD602" s="44"/>
      <c r="AE602" s="44"/>
      <c r="AF602" s="44"/>
      <c r="AG602" s="44"/>
      <c r="AH602" s="44"/>
      <c r="AI602" s="44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40"/>
      <c r="AA603" s="39"/>
      <c r="AB603" s="44"/>
      <c r="AC603" s="44"/>
      <c r="AD603" s="44"/>
      <c r="AE603" s="44"/>
      <c r="AF603" s="44"/>
      <c r="AG603" s="44"/>
      <c r="AH603" s="44"/>
      <c r="AI603" s="44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40"/>
      <c r="AA604" s="39"/>
      <c r="AB604" s="44"/>
      <c r="AC604" s="44"/>
      <c r="AD604" s="44"/>
      <c r="AE604" s="44"/>
      <c r="AF604" s="44"/>
      <c r="AG604" s="44"/>
      <c r="AH604" s="44"/>
      <c r="AI604" s="44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40"/>
      <c r="AA605" s="39"/>
      <c r="AB605" s="44"/>
      <c r="AC605" s="44"/>
      <c r="AD605" s="44"/>
      <c r="AE605" s="44"/>
      <c r="AF605" s="44"/>
      <c r="AG605" s="44"/>
      <c r="AH605" s="44"/>
      <c r="AI605" s="44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40"/>
      <c r="AA606" s="39"/>
      <c r="AB606" s="44"/>
      <c r="AC606" s="44"/>
      <c r="AD606" s="44"/>
      <c r="AE606" s="44"/>
      <c r="AF606" s="44"/>
      <c r="AG606" s="44"/>
      <c r="AH606" s="44"/>
      <c r="AI606" s="44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40"/>
      <c r="AA607" s="39"/>
      <c r="AB607" s="44"/>
      <c r="AC607" s="44"/>
      <c r="AD607" s="44"/>
      <c r="AE607" s="44"/>
      <c r="AF607" s="44"/>
      <c r="AG607" s="44"/>
      <c r="AH607" s="44"/>
      <c r="AI607" s="44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40"/>
      <c r="AA608" s="39"/>
      <c r="AB608" s="44"/>
      <c r="AC608" s="44"/>
      <c r="AD608" s="44"/>
      <c r="AE608" s="44"/>
      <c r="AF608" s="44"/>
      <c r="AG608" s="44"/>
      <c r="AH608" s="44"/>
      <c r="AI608" s="44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40"/>
      <c r="AA609" s="39"/>
      <c r="AB609" s="44"/>
      <c r="AC609" s="44"/>
      <c r="AD609" s="44"/>
      <c r="AE609" s="44"/>
      <c r="AF609" s="44"/>
      <c r="AG609" s="44"/>
      <c r="AH609" s="44"/>
      <c r="AI609" s="44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40"/>
      <c r="AA610" s="39"/>
      <c r="AB610" s="44"/>
      <c r="AC610" s="44"/>
      <c r="AD610" s="44"/>
      <c r="AE610" s="44"/>
      <c r="AF610" s="44"/>
      <c r="AG610" s="44"/>
      <c r="AH610" s="44"/>
      <c r="AI610" s="44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40"/>
      <c r="AA611" s="39"/>
      <c r="AB611" s="44"/>
      <c r="AC611" s="44"/>
      <c r="AD611" s="44"/>
      <c r="AE611" s="44"/>
      <c r="AF611" s="44"/>
      <c r="AG611" s="44"/>
      <c r="AH611" s="44"/>
      <c r="AI611" s="44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40"/>
      <c r="AA612" s="39"/>
      <c r="AB612" s="44"/>
      <c r="AC612" s="44"/>
      <c r="AD612" s="44"/>
      <c r="AE612" s="44"/>
      <c r="AF612" s="44"/>
      <c r="AG612" s="44"/>
      <c r="AH612" s="44"/>
      <c r="AI612" s="44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40"/>
      <c r="AA613" s="39"/>
      <c r="AB613" s="44"/>
      <c r="AC613" s="44"/>
      <c r="AD613" s="44"/>
      <c r="AE613" s="44"/>
      <c r="AF613" s="44"/>
      <c r="AG613" s="44"/>
      <c r="AH613" s="44"/>
      <c r="AI613" s="44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40"/>
      <c r="AA614" s="39"/>
      <c r="AB614" s="44"/>
      <c r="AC614" s="44"/>
      <c r="AD614" s="44"/>
      <c r="AE614" s="44"/>
      <c r="AF614" s="44"/>
      <c r="AG614" s="44"/>
      <c r="AH614" s="44"/>
      <c r="AI614" s="44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40"/>
      <c r="AA615" s="39"/>
      <c r="AB615" s="44"/>
      <c r="AC615" s="44"/>
      <c r="AD615" s="44"/>
      <c r="AE615" s="44"/>
      <c r="AF615" s="44"/>
      <c r="AG615" s="44"/>
      <c r="AH615" s="44"/>
      <c r="AI615" s="44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40"/>
      <c r="AA616" s="39"/>
      <c r="AB616" s="44"/>
      <c r="AC616" s="44"/>
      <c r="AD616" s="44"/>
      <c r="AE616" s="44"/>
      <c r="AF616" s="44"/>
      <c r="AG616" s="44"/>
      <c r="AH616" s="44"/>
      <c r="AI616" s="44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40"/>
      <c r="AA617" s="39"/>
      <c r="AB617" s="44"/>
      <c r="AC617" s="44"/>
      <c r="AD617" s="44"/>
      <c r="AE617" s="44"/>
      <c r="AF617" s="44"/>
      <c r="AG617" s="44"/>
      <c r="AH617" s="44"/>
      <c r="AI617" s="44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40"/>
      <c r="AA618" s="39"/>
      <c r="AB618" s="44"/>
      <c r="AC618" s="44"/>
      <c r="AD618" s="44"/>
      <c r="AE618" s="44"/>
      <c r="AF618" s="44"/>
      <c r="AG618" s="44"/>
      <c r="AH618" s="44"/>
      <c r="AI618" s="44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40"/>
      <c r="AA619" s="39"/>
      <c r="AB619" s="44"/>
      <c r="AC619" s="44"/>
      <c r="AD619" s="44"/>
      <c r="AE619" s="44"/>
      <c r="AF619" s="44"/>
      <c r="AG619" s="44"/>
      <c r="AH619" s="44"/>
      <c r="AI619" s="44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40"/>
      <c r="AA620" s="39"/>
      <c r="AB620" s="44"/>
      <c r="AC620" s="44"/>
      <c r="AD620" s="44"/>
      <c r="AE620" s="44"/>
      <c r="AF620" s="44"/>
      <c r="AG620" s="44"/>
      <c r="AH620" s="44"/>
      <c r="AI620" s="44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40"/>
      <c r="AA621" s="39"/>
      <c r="AB621" s="44"/>
      <c r="AC621" s="44"/>
      <c r="AD621" s="44"/>
      <c r="AE621" s="44"/>
      <c r="AF621" s="44"/>
      <c r="AG621" s="44"/>
      <c r="AH621" s="44"/>
      <c r="AI621" s="44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40"/>
      <c r="AA622" s="39"/>
      <c r="AB622" s="44"/>
      <c r="AC622" s="44"/>
      <c r="AD622" s="44"/>
      <c r="AE622" s="44"/>
      <c r="AF622" s="44"/>
      <c r="AG622" s="44"/>
      <c r="AH622" s="44"/>
      <c r="AI622" s="44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40"/>
      <c r="AA623" s="39"/>
      <c r="AB623" s="44"/>
      <c r="AC623" s="44"/>
      <c r="AD623" s="44"/>
      <c r="AE623" s="44"/>
      <c r="AF623" s="44"/>
      <c r="AG623" s="44"/>
      <c r="AH623" s="44"/>
      <c r="AI623" s="44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40"/>
      <c r="AA624" s="39"/>
      <c r="AB624" s="44"/>
      <c r="AC624" s="44"/>
      <c r="AD624" s="44"/>
      <c r="AE624" s="44"/>
      <c r="AF624" s="44"/>
      <c r="AG624" s="44"/>
      <c r="AH624" s="44"/>
      <c r="AI624" s="44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40"/>
      <c r="AA625" s="39"/>
      <c r="AB625" s="44"/>
      <c r="AC625" s="44"/>
      <c r="AD625" s="44"/>
      <c r="AE625" s="44"/>
      <c r="AF625" s="44"/>
      <c r="AG625" s="44"/>
      <c r="AH625" s="44"/>
      <c r="AI625" s="44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40"/>
      <c r="AA626" s="39"/>
      <c r="AB626" s="44"/>
      <c r="AC626" s="44"/>
      <c r="AD626" s="44"/>
      <c r="AE626" s="44"/>
      <c r="AF626" s="44"/>
      <c r="AG626" s="44"/>
      <c r="AH626" s="44"/>
      <c r="AI626" s="44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40"/>
      <c r="AA627" s="39"/>
      <c r="AB627" s="44"/>
      <c r="AC627" s="44"/>
      <c r="AD627" s="44"/>
      <c r="AE627" s="44"/>
      <c r="AF627" s="44"/>
      <c r="AG627" s="44"/>
      <c r="AH627" s="44"/>
      <c r="AI627" s="44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40"/>
      <c r="AA628" s="39"/>
      <c r="AB628" s="44"/>
      <c r="AC628" s="44"/>
      <c r="AD628" s="44"/>
      <c r="AE628" s="44"/>
      <c r="AF628" s="44"/>
      <c r="AG628" s="44"/>
      <c r="AH628" s="44"/>
      <c r="AI628" s="44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40"/>
      <c r="AA629" s="39"/>
      <c r="AB629" s="44"/>
      <c r="AC629" s="44"/>
      <c r="AD629" s="44"/>
      <c r="AE629" s="44"/>
      <c r="AF629" s="44"/>
      <c r="AG629" s="44"/>
      <c r="AH629" s="44"/>
      <c r="AI629" s="44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40"/>
      <c r="AA630" s="39"/>
      <c r="AB630" s="44"/>
      <c r="AC630" s="44"/>
      <c r="AD630" s="44"/>
      <c r="AE630" s="44"/>
      <c r="AF630" s="44"/>
      <c r="AG630" s="44"/>
      <c r="AH630" s="44"/>
      <c r="AI630" s="44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40"/>
      <c r="AA631" s="39"/>
      <c r="AB631" s="44"/>
      <c r="AC631" s="44"/>
      <c r="AD631" s="44"/>
      <c r="AE631" s="44"/>
      <c r="AF631" s="44"/>
      <c r="AG631" s="44"/>
      <c r="AH631" s="44"/>
      <c r="AI631" s="44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40"/>
      <c r="AA632" s="39"/>
      <c r="AB632" s="44"/>
      <c r="AC632" s="44"/>
      <c r="AD632" s="44"/>
      <c r="AE632" s="44"/>
      <c r="AF632" s="44"/>
      <c r="AG632" s="44"/>
      <c r="AH632" s="44"/>
      <c r="AI632" s="44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40"/>
      <c r="AA633" s="39"/>
      <c r="AB633" s="44"/>
      <c r="AC633" s="44"/>
      <c r="AD633" s="44"/>
      <c r="AE633" s="44"/>
      <c r="AF633" s="44"/>
      <c r="AG633" s="44"/>
      <c r="AH633" s="44"/>
      <c r="AI633" s="44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40"/>
      <c r="AA634" s="39"/>
      <c r="AB634" s="44"/>
      <c r="AC634" s="44"/>
      <c r="AD634" s="44"/>
      <c r="AE634" s="44"/>
      <c r="AF634" s="44"/>
      <c r="AG634" s="44"/>
      <c r="AH634" s="44"/>
      <c r="AI634" s="44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40"/>
      <c r="AA635" s="39"/>
      <c r="AB635" s="44"/>
      <c r="AC635" s="44"/>
      <c r="AD635" s="44"/>
      <c r="AE635" s="44"/>
      <c r="AF635" s="44"/>
      <c r="AG635" s="44"/>
      <c r="AH635" s="44"/>
      <c r="AI635" s="44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39"/>
      <c r="AB636" s="44"/>
      <c r="AC636" s="44"/>
      <c r="AD636" s="44"/>
      <c r="AE636" s="44"/>
      <c r="AF636" s="44"/>
      <c r="AG636" s="44"/>
      <c r="AH636" s="44"/>
      <c r="AI636" s="44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40"/>
      <c r="AA637" s="39"/>
      <c r="AB637" s="44"/>
      <c r="AC637" s="44"/>
      <c r="AD637" s="44"/>
      <c r="AE637" s="44"/>
      <c r="AF637" s="44"/>
      <c r="AG637" s="44"/>
      <c r="AH637" s="44"/>
      <c r="AI637" s="44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40"/>
      <c r="AA638" s="39"/>
      <c r="AB638" s="44"/>
      <c r="AC638" s="44"/>
      <c r="AD638" s="44"/>
      <c r="AE638" s="44"/>
      <c r="AF638" s="44"/>
      <c r="AG638" s="44"/>
      <c r="AH638" s="44"/>
      <c r="AI638" s="44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40"/>
      <c r="AA639" s="39"/>
      <c r="AB639" s="44"/>
      <c r="AC639" s="44"/>
      <c r="AD639" s="44"/>
      <c r="AE639" s="44"/>
      <c r="AF639" s="44"/>
      <c r="AG639" s="44"/>
      <c r="AH639" s="44"/>
      <c r="AI639" s="44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40"/>
      <c r="AA640" s="39"/>
      <c r="AB640" s="44"/>
      <c r="AC640" s="44"/>
      <c r="AD640" s="44"/>
      <c r="AE640" s="44"/>
      <c r="AF640" s="44"/>
      <c r="AG640" s="44"/>
      <c r="AH640" s="44"/>
      <c r="AI640" s="44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40"/>
      <c r="AA641" s="39"/>
      <c r="AB641" s="44"/>
      <c r="AC641" s="44"/>
      <c r="AD641" s="44"/>
      <c r="AE641" s="44"/>
      <c r="AF641" s="44"/>
      <c r="AG641" s="44"/>
      <c r="AH641" s="44"/>
      <c r="AI641" s="44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40"/>
      <c r="AA642" s="39"/>
      <c r="AB642" s="44"/>
      <c r="AC642" s="44"/>
      <c r="AD642" s="44"/>
      <c r="AE642" s="44"/>
      <c r="AF642" s="44"/>
      <c r="AG642" s="44"/>
      <c r="AH642" s="44"/>
      <c r="AI642" s="44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40"/>
      <c r="AA643" s="39"/>
      <c r="AB643" s="44"/>
      <c r="AC643" s="44"/>
      <c r="AD643" s="44"/>
      <c r="AE643" s="44"/>
      <c r="AF643" s="44"/>
      <c r="AG643" s="44"/>
      <c r="AH643" s="44"/>
      <c r="AI643" s="44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40"/>
      <c r="AA644" s="39"/>
      <c r="AB644" s="44"/>
      <c r="AC644" s="44"/>
      <c r="AD644" s="44"/>
      <c r="AE644" s="44"/>
      <c r="AF644" s="44"/>
      <c r="AG644" s="44"/>
      <c r="AH644" s="44"/>
      <c r="AI644" s="44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40"/>
      <c r="AA645" s="39"/>
      <c r="AB645" s="44"/>
      <c r="AC645" s="44"/>
      <c r="AD645" s="44"/>
      <c r="AE645" s="44"/>
      <c r="AF645" s="44"/>
      <c r="AG645" s="44"/>
      <c r="AH645" s="44"/>
      <c r="AI645" s="44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40"/>
      <c r="AA646" s="39"/>
      <c r="AB646" s="44"/>
      <c r="AC646" s="44"/>
      <c r="AD646" s="44"/>
      <c r="AE646" s="44"/>
      <c r="AF646" s="44"/>
      <c r="AG646" s="44"/>
      <c r="AH646" s="44"/>
      <c r="AI646" s="44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40"/>
      <c r="AA647" s="39"/>
      <c r="AB647" s="44"/>
      <c r="AC647" s="44"/>
      <c r="AD647" s="44"/>
      <c r="AE647" s="44"/>
      <c r="AF647" s="44"/>
      <c r="AG647" s="44"/>
      <c r="AH647" s="44"/>
      <c r="AI647" s="44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40"/>
      <c r="AA648" s="39"/>
      <c r="AB648" s="44"/>
      <c r="AC648" s="44"/>
      <c r="AD648" s="44"/>
      <c r="AE648" s="44"/>
      <c r="AF648" s="44"/>
      <c r="AG648" s="44"/>
      <c r="AH648" s="44"/>
      <c r="AI648" s="44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40"/>
      <c r="AA649" s="39"/>
      <c r="AB649" s="44"/>
      <c r="AC649" s="44"/>
      <c r="AD649" s="44"/>
      <c r="AE649" s="44"/>
      <c r="AF649" s="44"/>
      <c r="AG649" s="44"/>
      <c r="AH649" s="44"/>
      <c r="AI649" s="44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40"/>
      <c r="AA650" s="39"/>
      <c r="AB650" s="44"/>
      <c r="AC650" s="44"/>
      <c r="AD650" s="44"/>
      <c r="AE650" s="44"/>
      <c r="AF650" s="44"/>
      <c r="AG650" s="44"/>
      <c r="AH650" s="44"/>
      <c r="AI650" s="44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40"/>
      <c r="AA651" s="39"/>
      <c r="AB651" s="44"/>
      <c r="AC651" s="44"/>
      <c r="AD651" s="44"/>
      <c r="AE651" s="44"/>
      <c r="AF651" s="44"/>
      <c r="AG651" s="44"/>
      <c r="AH651" s="44"/>
      <c r="AI651" s="44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40"/>
      <c r="AA652" s="39"/>
      <c r="AB652" s="44"/>
      <c r="AC652" s="44"/>
      <c r="AD652" s="44"/>
      <c r="AE652" s="44"/>
      <c r="AF652" s="44"/>
      <c r="AG652" s="44"/>
      <c r="AH652" s="44"/>
      <c r="AI652" s="44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40"/>
      <c r="AA653" s="39"/>
      <c r="AB653" s="44"/>
      <c r="AC653" s="44"/>
      <c r="AD653" s="44"/>
      <c r="AE653" s="44"/>
      <c r="AF653" s="44"/>
      <c r="AG653" s="44"/>
      <c r="AH653" s="44"/>
      <c r="AI653" s="44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40"/>
      <c r="AA654" s="39"/>
      <c r="AB654" s="44"/>
      <c r="AC654" s="44"/>
      <c r="AD654" s="44"/>
      <c r="AE654" s="44"/>
      <c r="AF654" s="44"/>
      <c r="AG654" s="44"/>
      <c r="AH654" s="44"/>
      <c r="AI654" s="44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40"/>
      <c r="AA655" s="39"/>
      <c r="AB655" s="44"/>
      <c r="AC655" s="44"/>
      <c r="AD655" s="44"/>
      <c r="AE655" s="44"/>
      <c r="AF655" s="44"/>
      <c r="AG655" s="44"/>
      <c r="AH655" s="44"/>
      <c r="AI655" s="44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40"/>
      <c r="AA656" s="39"/>
      <c r="AB656" s="44"/>
      <c r="AC656" s="44"/>
      <c r="AD656" s="44"/>
      <c r="AE656" s="44"/>
      <c r="AF656" s="44"/>
      <c r="AG656" s="44"/>
      <c r="AH656" s="44"/>
      <c r="AI656" s="44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40"/>
      <c r="AA657" s="39"/>
      <c r="AB657" s="44"/>
      <c r="AC657" s="44"/>
      <c r="AD657" s="44"/>
      <c r="AE657" s="44"/>
      <c r="AF657" s="44"/>
      <c r="AG657" s="44"/>
      <c r="AH657" s="44"/>
      <c r="AI657" s="44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40"/>
      <c r="AA658" s="39"/>
      <c r="AB658" s="44"/>
      <c r="AC658" s="44"/>
      <c r="AD658" s="44"/>
      <c r="AE658" s="44"/>
      <c r="AF658" s="44"/>
      <c r="AG658" s="44"/>
      <c r="AH658" s="44"/>
      <c r="AI658" s="44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40"/>
      <c r="AA659" s="39"/>
      <c r="AB659" s="44"/>
      <c r="AC659" s="44"/>
      <c r="AD659" s="44"/>
      <c r="AE659" s="44"/>
      <c r="AF659" s="44"/>
      <c r="AG659" s="44"/>
      <c r="AH659" s="44"/>
      <c r="AI659" s="44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40"/>
      <c r="AA660" s="39"/>
      <c r="AB660" s="44"/>
      <c r="AC660" s="44"/>
      <c r="AD660" s="44"/>
      <c r="AE660" s="44"/>
      <c r="AF660" s="44"/>
      <c r="AG660" s="44"/>
      <c r="AH660" s="44"/>
      <c r="AI660" s="44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40"/>
      <c r="AA661" s="39"/>
      <c r="AB661" s="44"/>
      <c r="AC661" s="44"/>
      <c r="AD661" s="44"/>
      <c r="AE661" s="44"/>
      <c r="AF661" s="44"/>
      <c r="AG661" s="44"/>
      <c r="AH661" s="44"/>
      <c r="AI661" s="44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40"/>
      <c r="AA662" s="39"/>
      <c r="AB662" s="44"/>
      <c r="AC662" s="44"/>
      <c r="AD662" s="44"/>
      <c r="AE662" s="44"/>
      <c r="AF662" s="44"/>
      <c r="AG662" s="44"/>
      <c r="AH662" s="44"/>
      <c r="AI662" s="44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40"/>
      <c r="AA663" s="39"/>
      <c r="AB663" s="44"/>
      <c r="AC663" s="44"/>
      <c r="AD663" s="44"/>
      <c r="AE663" s="44"/>
      <c r="AF663" s="44"/>
      <c r="AG663" s="44"/>
      <c r="AH663" s="44"/>
      <c r="AI663" s="44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40"/>
      <c r="AA664" s="39"/>
      <c r="AB664" s="44"/>
      <c r="AC664" s="44"/>
      <c r="AD664" s="44"/>
      <c r="AE664" s="44"/>
      <c r="AF664" s="44"/>
      <c r="AG664" s="44"/>
      <c r="AH664" s="44"/>
      <c r="AI664" s="44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40"/>
      <c r="AA665" s="39"/>
      <c r="AB665" s="44"/>
      <c r="AC665" s="44"/>
      <c r="AD665" s="44"/>
      <c r="AE665" s="44"/>
      <c r="AF665" s="44"/>
      <c r="AG665" s="44"/>
      <c r="AH665" s="44"/>
      <c r="AI665" s="44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40"/>
      <c r="AA666" s="39"/>
      <c r="AB666" s="44"/>
      <c r="AC666" s="44"/>
      <c r="AD666" s="44"/>
      <c r="AE666" s="44"/>
      <c r="AF666" s="44"/>
      <c r="AG666" s="44"/>
      <c r="AH666" s="44"/>
      <c r="AI666" s="44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40"/>
      <c r="AA667" s="39"/>
      <c r="AB667" s="44"/>
      <c r="AC667" s="44"/>
      <c r="AD667" s="44"/>
      <c r="AE667" s="44"/>
      <c r="AF667" s="44"/>
      <c r="AG667" s="44"/>
      <c r="AH667" s="44"/>
      <c r="AI667" s="44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40"/>
      <c r="AA668" s="39"/>
      <c r="AB668" s="44"/>
      <c r="AC668" s="44"/>
      <c r="AD668" s="44"/>
      <c r="AE668" s="44"/>
      <c r="AF668" s="44"/>
      <c r="AG668" s="44"/>
      <c r="AH668" s="44"/>
      <c r="AI668" s="44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40"/>
      <c r="AA669" s="39"/>
      <c r="AB669" s="44"/>
      <c r="AC669" s="44"/>
      <c r="AD669" s="44"/>
      <c r="AE669" s="44"/>
      <c r="AF669" s="44"/>
      <c r="AG669" s="44"/>
      <c r="AH669" s="44"/>
      <c r="AI669" s="44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40"/>
      <c r="AA670" s="39"/>
      <c r="AB670" s="44"/>
      <c r="AC670" s="44"/>
      <c r="AD670" s="44"/>
      <c r="AE670" s="44"/>
      <c r="AF670" s="44"/>
      <c r="AG670" s="44"/>
      <c r="AH670" s="44"/>
      <c r="AI670" s="44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40"/>
      <c r="AA671" s="39"/>
      <c r="AB671" s="44"/>
      <c r="AC671" s="44"/>
      <c r="AD671" s="44"/>
      <c r="AE671" s="44"/>
      <c r="AF671" s="44"/>
      <c r="AG671" s="44"/>
      <c r="AH671" s="44"/>
      <c r="AI671" s="44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40"/>
      <c r="AA672" s="39"/>
      <c r="AB672" s="44"/>
      <c r="AC672" s="44"/>
      <c r="AD672" s="44"/>
      <c r="AE672" s="44"/>
      <c r="AF672" s="44"/>
      <c r="AG672" s="44"/>
      <c r="AH672" s="44"/>
      <c r="AI672" s="44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40"/>
      <c r="AA673" s="39"/>
      <c r="AB673" s="44"/>
      <c r="AC673" s="44"/>
      <c r="AD673" s="44"/>
      <c r="AE673" s="44"/>
      <c r="AF673" s="44"/>
      <c r="AG673" s="44"/>
      <c r="AH673" s="44"/>
      <c r="AI673" s="44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39"/>
      <c r="AB674" s="44"/>
      <c r="AC674" s="44"/>
      <c r="AD674" s="44"/>
      <c r="AE674" s="44"/>
      <c r="AF674" s="44"/>
      <c r="AG674" s="44"/>
      <c r="AH674" s="44"/>
      <c r="AI674" s="44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40"/>
      <c r="AA675" s="39"/>
      <c r="AB675" s="44"/>
      <c r="AC675" s="44"/>
      <c r="AD675" s="44"/>
      <c r="AE675" s="44"/>
      <c r="AF675" s="44"/>
      <c r="AG675" s="44"/>
      <c r="AH675" s="44"/>
      <c r="AI675" s="44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40"/>
      <c r="AA676" s="39"/>
      <c r="AB676" s="44"/>
      <c r="AC676" s="44"/>
      <c r="AD676" s="44"/>
      <c r="AE676" s="44"/>
      <c r="AF676" s="44"/>
      <c r="AG676" s="44"/>
      <c r="AH676" s="44"/>
      <c r="AI676" s="44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40"/>
      <c r="AA677" s="39"/>
      <c r="AB677" s="44"/>
      <c r="AC677" s="44"/>
      <c r="AD677" s="44"/>
      <c r="AE677" s="44"/>
      <c r="AF677" s="44"/>
      <c r="AG677" s="44"/>
      <c r="AH677" s="44"/>
      <c r="AI677" s="44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40"/>
      <c r="AA678" s="39"/>
      <c r="AB678" s="44"/>
      <c r="AC678" s="44"/>
      <c r="AD678" s="44"/>
      <c r="AE678" s="44"/>
      <c r="AF678" s="44"/>
      <c r="AG678" s="44"/>
      <c r="AH678" s="44"/>
      <c r="AI678" s="44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40"/>
      <c r="AA679" s="39"/>
      <c r="AB679" s="44"/>
      <c r="AC679" s="44"/>
      <c r="AD679" s="44"/>
      <c r="AE679" s="44"/>
      <c r="AF679" s="44"/>
      <c r="AG679" s="44"/>
      <c r="AH679" s="44"/>
      <c r="AI679" s="44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40"/>
      <c r="AA680" s="39"/>
      <c r="AB680" s="44"/>
      <c r="AC680" s="44"/>
      <c r="AD680" s="44"/>
      <c r="AE680" s="44"/>
      <c r="AF680" s="44"/>
      <c r="AG680" s="44"/>
      <c r="AH680" s="44"/>
      <c r="AI680" s="44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40"/>
      <c r="AA681" s="39"/>
      <c r="AB681" s="44"/>
      <c r="AC681" s="44"/>
      <c r="AD681" s="44"/>
      <c r="AE681" s="44"/>
      <c r="AF681" s="44"/>
      <c r="AG681" s="44"/>
      <c r="AH681" s="44"/>
      <c r="AI681" s="44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40"/>
      <c r="AA682" s="39"/>
      <c r="AB682" s="44"/>
      <c r="AC682" s="44"/>
      <c r="AD682" s="44"/>
      <c r="AE682" s="44"/>
      <c r="AF682" s="44"/>
      <c r="AG682" s="44"/>
      <c r="AH682" s="44"/>
      <c r="AI682" s="44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40"/>
      <c r="AA683" s="39"/>
      <c r="AB683" s="44"/>
      <c r="AC683" s="44"/>
      <c r="AD683" s="44"/>
      <c r="AE683" s="44"/>
      <c r="AF683" s="44"/>
      <c r="AG683" s="44"/>
      <c r="AH683" s="44"/>
      <c r="AI683" s="44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40"/>
      <c r="AA684" s="39"/>
      <c r="AB684" s="44"/>
      <c r="AC684" s="44"/>
      <c r="AD684" s="44"/>
      <c r="AE684" s="44"/>
      <c r="AF684" s="44"/>
      <c r="AG684" s="44"/>
      <c r="AH684" s="44"/>
      <c r="AI684" s="44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40"/>
      <c r="AA685" s="39"/>
      <c r="AB685" s="44"/>
      <c r="AC685" s="44"/>
      <c r="AD685" s="44"/>
      <c r="AE685" s="44"/>
      <c r="AF685" s="44"/>
      <c r="AG685" s="44"/>
      <c r="AH685" s="44"/>
      <c r="AI685" s="44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40"/>
      <c r="AA686" s="39"/>
      <c r="AB686" s="44"/>
      <c r="AC686" s="44"/>
      <c r="AD686" s="44"/>
      <c r="AE686" s="44"/>
      <c r="AF686" s="44"/>
      <c r="AG686" s="44"/>
      <c r="AH686" s="44"/>
      <c r="AI686" s="44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40"/>
      <c r="AA687" s="39"/>
      <c r="AB687" s="44"/>
      <c r="AC687" s="44"/>
      <c r="AD687" s="44"/>
      <c r="AE687" s="44"/>
      <c r="AF687" s="44"/>
      <c r="AG687" s="44"/>
      <c r="AH687" s="44"/>
      <c r="AI687" s="44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40"/>
      <c r="AA688" s="39"/>
      <c r="AB688" s="44"/>
      <c r="AC688" s="44"/>
      <c r="AD688" s="44"/>
      <c r="AE688" s="44"/>
      <c r="AF688" s="44"/>
      <c r="AG688" s="44"/>
      <c r="AH688" s="44"/>
      <c r="AI688" s="44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40"/>
      <c r="AA689" s="39"/>
      <c r="AB689" s="44"/>
      <c r="AC689" s="44"/>
      <c r="AD689" s="44"/>
      <c r="AE689" s="44"/>
      <c r="AF689" s="44"/>
      <c r="AG689" s="44"/>
      <c r="AH689" s="44"/>
      <c r="AI689" s="44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40"/>
      <c r="AA690" s="39"/>
      <c r="AB690" s="44"/>
      <c r="AC690" s="44"/>
      <c r="AD690" s="44"/>
      <c r="AE690" s="44"/>
      <c r="AF690" s="44"/>
      <c r="AG690" s="44"/>
      <c r="AH690" s="44"/>
      <c r="AI690" s="44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40"/>
      <c r="AA691" s="39"/>
      <c r="AB691" s="44"/>
      <c r="AC691" s="44"/>
      <c r="AD691" s="44"/>
      <c r="AE691" s="44"/>
      <c r="AF691" s="44"/>
      <c r="AG691" s="44"/>
      <c r="AH691" s="44"/>
      <c r="AI691" s="44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40"/>
      <c r="AA692" s="39"/>
      <c r="AB692" s="44"/>
      <c r="AC692" s="44"/>
      <c r="AD692" s="44"/>
      <c r="AE692" s="44"/>
      <c r="AF692" s="44"/>
      <c r="AG692" s="44"/>
      <c r="AH692" s="44"/>
      <c r="AI692" s="44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40"/>
      <c r="AA693" s="39"/>
      <c r="AB693" s="44"/>
      <c r="AC693" s="44"/>
      <c r="AD693" s="44"/>
      <c r="AE693" s="44"/>
      <c r="AF693" s="44"/>
      <c r="AG693" s="44"/>
      <c r="AH693" s="44"/>
      <c r="AI693" s="44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40"/>
      <c r="AA694" s="39"/>
      <c r="AB694" s="44"/>
      <c r="AC694" s="44"/>
      <c r="AD694" s="44"/>
      <c r="AE694" s="44"/>
      <c r="AF694" s="44"/>
      <c r="AG694" s="44"/>
      <c r="AH694" s="44"/>
      <c r="AI694" s="44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40"/>
      <c r="AA695" s="39"/>
      <c r="AB695" s="44"/>
      <c r="AC695" s="44"/>
      <c r="AD695" s="44"/>
      <c r="AE695" s="44"/>
      <c r="AF695" s="44"/>
      <c r="AG695" s="44"/>
      <c r="AH695" s="44"/>
      <c r="AI695" s="44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40"/>
      <c r="AA696" s="39"/>
      <c r="AB696" s="44"/>
      <c r="AC696" s="44"/>
      <c r="AD696" s="44"/>
      <c r="AE696" s="44"/>
      <c r="AF696" s="44"/>
      <c r="AG696" s="44"/>
      <c r="AH696" s="44"/>
      <c r="AI696" s="44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40"/>
      <c r="AA697" s="39"/>
      <c r="AB697" s="44"/>
      <c r="AC697" s="44"/>
      <c r="AD697" s="44"/>
      <c r="AE697" s="44"/>
      <c r="AF697" s="44"/>
      <c r="AG697" s="44"/>
      <c r="AH697" s="44"/>
      <c r="AI697" s="44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40"/>
      <c r="AA698" s="39"/>
      <c r="AB698" s="44"/>
      <c r="AC698" s="44"/>
      <c r="AD698" s="44"/>
      <c r="AE698" s="44"/>
      <c r="AF698" s="44"/>
      <c r="AG698" s="44"/>
      <c r="AH698" s="44"/>
      <c r="AI698" s="44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40"/>
      <c r="AA699" s="39"/>
      <c r="AB699" s="44"/>
      <c r="AC699" s="44"/>
      <c r="AD699" s="44"/>
      <c r="AE699" s="44"/>
      <c r="AF699" s="44"/>
      <c r="AG699" s="44"/>
      <c r="AH699" s="44"/>
      <c r="AI699" s="44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40"/>
      <c r="AA700" s="39"/>
      <c r="AB700" s="44"/>
      <c r="AC700" s="44"/>
      <c r="AD700" s="44"/>
      <c r="AE700" s="44"/>
      <c r="AF700" s="44"/>
      <c r="AG700" s="44"/>
      <c r="AH700" s="44"/>
      <c r="AI700" s="44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40"/>
      <c r="AA701" s="39"/>
      <c r="AB701" s="44"/>
      <c r="AC701" s="44"/>
      <c r="AD701" s="44"/>
      <c r="AE701" s="44"/>
      <c r="AF701" s="44"/>
      <c r="AG701" s="44"/>
      <c r="AH701" s="44"/>
      <c r="AI701" s="44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40"/>
      <c r="AA702" s="39"/>
      <c r="AB702" s="44"/>
      <c r="AC702" s="44"/>
      <c r="AD702" s="44"/>
      <c r="AE702" s="44"/>
      <c r="AF702" s="44"/>
      <c r="AG702" s="44"/>
      <c r="AH702" s="44"/>
      <c r="AI702" s="44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40"/>
      <c r="AA703" s="39"/>
      <c r="AB703" s="44"/>
      <c r="AC703" s="44"/>
      <c r="AD703" s="44"/>
      <c r="AE703" s="44"/>
      <c r="AF703" s="44"/>
      <c r="AG703" s="44"/>
      <c r="AH703" s="44"/>
      <c r="AI703" s="44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40"/>
      <c r="AA704" s="39"/>
      <c r="AB704" s="44"/>
      <c r="AC704" s="44"/>
      <c r="AD704" s="44"/>
      <c r="AE704" s="44"/>
      <c r="AF704" s="44"/>
      <c r="AG704" s="44"/>
      <c r="AH704" s="44"/>
      <c r="AI704" s="44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40"/>
      <c r="AA705" s="39"/>
      <c r="AB705" s="44"/>
      <c r="AC705" s="44"/>
      <c r="AD705" s="44"/>
      <c r="AE705" s="44"/>
      <c r="AF705" s="44"/>
      <c r="AG705" s="44"/>
      <c r="AH705" s="44"/>
      <c r="AI705" s="44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40"/>
      <c r="AA706" s="39"/>
      <c r="AB706" s="44"/>
      <c r="AC706" s="44"/>
      <c r="AD706" s="44"/>
      <c r="AE706" s="44"/>
      <c r="AF706" s="44"/>
      <c r="AG706" s="44"/>
      <c r="AH706" s="44"/>
      <c r="AI706" s="44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40"/>
      <c r="AA707" s="39"/>
      <c r="AB707" s="44"/>
      <c r="AC707" s="44"/>
      <c r="AD707" s="44"/>
      <c r="AE707" s="44"/>
      <c r="AF707" s="44"/>
      <c r="AG707" s="44"/>
      <c r="AH707" s="44"/>
      <c r="AI707" s="44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40"/>
      <c r="AA708" s="39"/>
      <c r="AB708" s="44"/>
      <c r="AC708" s="44"/>
      <c r="AD708" s="44"/>
      <c r="AE708" s="44"/>
      <c r="AF708" s="44"/>
      <c r="AG708" s="44"/>
      <c r="AH708" s="44"/>
      <c r="AI708" s="44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40"/>
      <c r="AA709" s="39"/>
      <c r="AB709" s="44"/>
      <c r="AC709" s="44"/>
      <c r="AD709" s="44"/>
      <c r="AE709" s="44"/>
      <c r="AF709" s="44"/>
      <c r="AG709" s="44"/>
      <c r="AH709" s="44"/>
      <c r="AI709" s="44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40"/>
      <c r="AA710" s="39"/>
      <c r="AB710" s="44"/>
      <c r="AC710" s="44"/>
      <c r="AD710" s="44"/>
      <c r="AE710" s="44"/>
      <c r="AF710" s="44"/>
      <c r="AG710" s="44"/>
      <c r="AH710" s="44"/>
      <c r="AI710" s="44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40"/>
      <c r="AA711" s="39"/>
      <c r="AB711" s="44"/>
      <c r="AC711" s="44"/>
      <c r="AD711" s="44"/>
      <c r="AE711" s="44"/>
      <c r="AF711" s="44"/>
      <c r="AG711" s="44"/>
      <c r="AH711" s="44"/>
      <c r="AI711" s="44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39"/>
      <c r="AB712" s="44"/>
      <c r="AC712" s="44"/>
      <c r="AD712" s="44"/>
      <c r="AE712" s="44"/>
      <c r="AF712" s="44"/>
      <c r="AG712" s="44"/>
      <c r="AH712" s="44"/>
      <c r="AI712" s="44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40"/>
      <c r="AA713" s="39"/>
      <c r="AB713" s="44"/>
      <c r="AC713" s="44"/>
      <c r="AD713" s="44"/>
      <c r="AE713" s="44"/>
      <c r="AF713" s="44"/>
      <c r="AG713" s="44"/>
      <c r="AH713" s="44"/>
      <c r="AI713" s="44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40"/>
      <c r="AA714" s="39"/>
      <c r="AB714" s="44"/>
      <c r="AC714" s="44"/>
      <c r="AD714" s="44"/>
      <c r="AE714" s="44"/>
      <c r="AF714" s="44"/>
      <c r="AG714" s="44"/>
      <c r="AH714" s="44"/>
      <c r="AI714" s="44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40"/>
      <c r="AA715" s="39"/>
      <c r="AB715" s="44"/>
      <c r="AC715" s="44"/>
      <c r="AD715" s="44"/>
      <c r="AE715" s="44"/>
      <c r="AF715" s="44"/>
      <c r="AG715" s="44"/>
      <c r="AH715" s="44"/>
      <c r="AI715" s="44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40"/>
      <c r="AA716" s="39"/>
      <c r="AB716" s="44"/>
      <c r="AC716" s="44"/>
      <c r="AD716" s="44"/>
      <c r="AE716" s="44"/>
      <c r="AF716" s="44"/>
      <c r="AG716" s="44"/>
      <c r="AH716" s="44"/>
      <c r="AI716" s="44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40"/>
      <c r="AA717" s="39"/>
      <c r="AB717" s="44"/>
      <c r="AC717" s="44"/>
      <c r="AD717" s="44"/>
      <c r="AE717" s="44"/>
      <c r="AF717" s="44"/>
      <c r="AG717" s="44"/>
      <c r="AH717" s="44"/>
      <c r="AI717" s="44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40"/>
      <c r="AA718" s="39"/>
      <c r="AB718" s="44"/>
      <c r="AC718" s="44"/>
      <c r="AD718" s="44"/>
      <c r="AE718" s="44"/>
      <c r="AF718" s="44"/>
      <c r="AG718" s="44"/>
      <c r="AH718" s="44"/>
      <c r="AI718" s="44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40"/>
      <c r="AA719" s="39"/>
      <c r="AB719" s="44"/>
      <c r="AC719" s="44"/>
      <c r="AD719" s="44"/>
      <c r="AE719" s="44"/>
      <c r="AF719" s="44"/>
      <c r="AG719" s="44"/>
      <c r="AH719" s="44"/>
      <c r="AI719" s="44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40"/>
      <c r="AA720" s="39"/>
      <c r="AB720" s="44"/>
      <c r="AC720" s="44"/>
      <c r="AD720" s="44"/>
      <c r="AE720" s="44"/>
      <c r="AF720" s="44"/>
      <c r="AG720" s="44"/>
      <c r="AH720" s="44"/>
      <c r="AI720" s="44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40"/>
      <c r="AA721" s="39"/>
      <c r="AB721" s="44"/>
      <c r="AC721" s="44"/>
      <c r="AD721" s="44"/>
      <c r="AE721" s="44"/>
      <c r="AF721" s="44"/>
      <c r="AG721" s="44"/>
      <c r="AH721" s="44"/>
      <c r="AI721" s="44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40"/>
      <c r="AA722" s="39"/>
      <c r="AB722" s="44"/>
      <c r="AC722" s="44"/>
      <c r="AD722" s="44"/>
      <c r="AE722" s="44"/>
      <c r="AF722" s="44"/>
      <c r="AG722" s="44"/>
      <c r="AH722" s="44"/>
      <c r="AI722" s="44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40"/>
      <c r="AA723" s="39"/>
      <c r="AB723" s="44"/>
      <c r="AC723" s="44"/>
      <c r="AD723" s="44"/>
      <c r="AE723" s="44"/>
      <c r="AF723" s="44"/>
      <c r="AG723" s="44"/>
      <c r="AH723" s="44"/>
      <c r="AI723" s="44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40"/>
      <c r="AA724" s="39"/>
      <c r="AB724" s="44"/>
      <c r="AC724" s="44"/>
      <c r="AD724" s="44"/>
      <c r="AE724" s="44"/>
      <c r="AF724" s="44"/>
      <c r="AG724" s="44"/>
      <c r="AH724" s="44"/>
      <c r="AI724" s="44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40"/>
      <c r="AA725" s="39"/>
      <c r="AB725" s="44"/>
      <c r="AC725" s="44"/>
      <c r="AD725" s="44"/>
      <c r="AE725" s="44"/>
      <c r="AF725" s="44"/>
      <c r="AG725" s="44"/>
      <c r="AH725" s="44"/>
      <c r="AI725" s="44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40"/>
      <c r="AA726" s="39"/>
      <c r="AB726" s="44"/>
      <c r="AC726" s="44"/>
      <c r="AD726" s="44"/>
      <c r="AE726" s="44"/>
      <c r="AF726" s="44"/>
      <c r="AG726" s="44"/>
      <c r="AH726" s="44"/>
      <c r="AI726" s="44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40"/>
      <c r="AA727" s="39"/>
      <c r="AB727" s="44"/>
      <c r="AC727" s="44"/>
      <c r="AD727" s="44"/>
      <c r="AE727" s="44"/>
      <c r="AF727" s="44"/>
      <c r="AG727" s="44"/>
      <c r="AH727" s="44"/>
      <c r="AI727" s="44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40"/>
      <c r="AA728" s="39"/>
      <c r="AB728" s="44"/>
      <c r="AC728" s="44"/>
      <c r="AD728" s="44"/>
      <c r="AE728" s="44"/>
      <c r="AF728" s="44"/>
      <c r="AG728" s="44"/>
      <c r="AH728" s="44"/>
      <c r="AI728" s="44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40"/>
      <c r="AA729" s="39"/>
      <c r="AB729" s="44"/>
      <c r="AC729" s="44"/>
      <c r="AD729" s="44"/>
      <c r="AE729" s="44"/>
      <c r="AF729" s="44"/>
      <c r="AG729" s="44"/>
      <c r="AH729" s="44"/>
      <c r="AI729" s="44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40"/>
      <c r="AA730" s="39"/>
      <c r="AB730" s="44"/>
      <c r="AC730" s="44"/>
      <c r="AD730" s="44"/>
      <c r="AE730" s="44"/>
      <c r="AF730" s="44"/>
      <c r="AG730" s="44"/>
      <c r="AH730" s="44"/>
      <c r="AI730" s="44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40"/>
      <c r="AA731" s="39"/>
      <c r="AB731" s="44"/>
      <c r="AC731" s="44"/>
      <c r="AD731" s="44"/>
      <c r="AE731" s="44"/>
      <c r="AF731" s="44"/>
      <c r="AG731" s="44"/>
      <c r="AH731" s="44"/>
      <c r="AI731" s="44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40"/>
      <c r="AA732" s="39"/>
      <c r="AB732" s="44"/>
      <c r="AC732" s="44"/>
      <c r="AD732" s="44"/>
      <c r="AE732" s="44"/>
      <c r="AF732" s="44"/>
      <c r="AG732" s="44"/>
      <c r="AH732" s="44"/>
      <c r="AI732" s="44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40"/>
      <c r="AA733" s="39"/>
      <c r="AB733" s="44"/>
      <c r="AC733" s="44"/>
      <c r="AD733" s="44"/>
      <c r="AE733" s="44"/>
      <c r="AF733" s="44"/>
      <c r="AG733" s="44"/>
      <c r="AH733" s="44"/>
      <c r="AI733" s="44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40"/>
      <c r="AA734" s="39"/>
      <c r="AB734" s="44"/>
      <c r="AC734" s="44"/>
      <c r="AD734" s="44"/>
      <c r="AE734" s="44"/>
      <c r="AF734" s="44"/>
      <c r="AG734" s="44"/>
      <c r="AH734" s="44"/>
      <c r="AI734" s="44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40"/>
      <c r="AA735" s="39"/>
      <c r="AB735" s="44"/>
      <c r="AC735" s="44"/>
      <c r="AD735" s="44"/>
      <c r="AE735" s="44"/>
      <c r="AF735" s="44"/>
      <c r="AG735" s="44"/>
      <c r="AH735" s="44"/>
      <c r="AI735" s="44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40"/>
      <c r="AA736" s="39"/>
      <c r="AB736" s="44"/>
      <c r="AC736" s="44"/>
      <c r="AD736" s="44"/>
      <c r="AE736" s="44"/>
      <c r="AF736" s="44"/>
      <c r="AG736" s="44"/>
      <c r="AH736" s="44"/>
      <c r="AI736" s="44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40"/>
      <c r="AA737" s="39"/>
      <c r="AB737" s="44"/>
      <c r="AC737" s="44"/>
      <c r="AD737" s="44"/>
      <c r="AE737" s="44"/>
      <c r="AF737" s="44"/>
      <c r="AG737" s="44"/>
      <c r="AH737" s="44"/>
      <c r="AI737" s="44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40"/>
      <c r="AA738" s="39"/>
      <c r="AB738" s="44"/>
      <c r="AC738" s="44"/>
      <c r="AD738" s="44"/>
      <c r="AE738" s="44"/>
      <c r="AF738" s="44"/>
      <c r="AG738" s="44"/>
      <c r="AH738" s="44"/>
      <c r="AI738" s="44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40"/>
      <c r="AA739" s="39"/>
      <c r="AB739" s="44"/>
      <c r="AC739" s="44"/>
      <c r="AD739" s="44"/>
      <c r="AE739" s="44"/>
      <c r="AF739" s="44"/>
      <c r="AG739" s="44"/>
      <c r="AH739" s="44"/>
      <c r="AI739" s="44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40"/>
      <c r="AA740" s="39"/>
      <c r="AB740" s="44"/>
      <c r="AC740" s="44"/>
      <c r="AD740" s="44"/>
      <c r="AE740" s="44"/>
      <c r="AF740" s="44"/>
      <c r="AG740" s="44"/>
      <c r="AH740" s="44"/>
      <c r="AI740" s="44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40"/>
      <c r="AA741" s="39"/>
      <c r="AB741" s="44"/>
      <c r="AC741" s="44"/>
      <c r="AD741" s="44"/>
      <c r="AE741" s="44"/>
      <c r="AF741" s="44"/>
      <c r="AG741" s="44"/>
      <c r="AH741" s="44"/>
      <c r="AI741" s="44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40"/>
      <c r="AA742" s="39"/>
      <c r="AB742" s="44"/>
      <c r="AC742" s="44"/>
      <c r="AD742" s="44"/>
      <c r="AE742" s="44"/>
      <c r="AF742" s="44"/>
      <c r="AG742" s="44"/>
      <c r="AH742" s="44"/>
      <c r="AI742" s="44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40"/>
      <c r="AA743" s="39"/>
      <c r="AB743" s="44"/>
      <c r="AC743" s="44"/>
      <c r="AD743" s="44"/>
      <c r="AE743" s="44"/>
      <c r="AF743" s="44"/>
      <c r="AG743" s="44"/>
      <c r="AH743" s="44"/>
      <c r="AI743" s="44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40"/>
      <c r="AA744" s="39"/>
      <c r="AB744" s="44"/>
      <c r="AC744" s="44"/>
      <c r="AD744" s="44"/>
      <c r="AE744" s="44"/>
      <c r="AF744" s="44"/>
      <c r="AG744" s="44"/>
      <c r="AH744" s="44"/>
      <c r="AI744" s="44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40"/>
      <c r="AA745" s="39"/>
      <c r="AB745" s="44"/>
      <c r="AC745" s="44"/>
      <c r="AD745" s="44"/>
      <c r="AE745" s="44"/>
      <c r="AF745" s="44"/>
      <c r="AG745" s="44"/>
      <c r="AH745" s="44"/>
      <c r="AI745" s="44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40"/>
      <c r="AA746" s="39"/>
      <c r="AB746" s="44"/>
      <c r="AC746" s="44"/>
      <c r="AD746" s="44"/>
      <c r="AE746" s="44"/>
      <c r="AF746" s="44"/>
      <c r="AG746" s="44"/>
      <c r="AH746" s="44"/>
      <c r="AI746" s="44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40"/>
      <c r="AA747" s="39"/>
      <c r="AB747" s="44"/>
      <c r="AC747" s="44"/>
      <c r="AD747" s="44"/>
      <c r="AE747" s="44"/>
      <c r="AF747" s="44"/>
      <c r="AG747" s="44"/>
      <c r="AH747" s="44"/>
      <c r="AI747" s="44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40"/>
      <c r="AA748" s="39"/>
      <c r="AB748" s="44"/>
      <c r="AC748" s="44"/>
      <c r="AD748" s="44"/>
      <c r="AE748" s="44"/>
      <c r="AF748" s="44"/>
      <c r="AG748" s="44"/>
      <c r="AH748" s="44"/>
      <c r="AI748" s="44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40"/>
      <c r="AA749" s="39"/>
      <c r="AB749" s="44"/>
      <c r="AC749" s="44"/>
      <c r="AD749" s="44"/>
      <c r="AE749" s="44"/>
      <c r="AF749" s="44"/>
      <c r="AG749" s="44"/>
      <c r="AH749" s="44"/>
      <c r="AI749" s="44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39"/>
      <c r="AB750" s="44"/>
      <c r="AC750" s="44"/>
      <c r="AD750" s="44"/>
      <c r="AE750" s="44"/>
      <c r="AF750" s="44"/>
      <c r="AG750" s="44"/>
      <c r="AH750" s="44"/>
      <c r="AI750" s="44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40"/>
      <c r="AA751" s="39"/>
      <c r="AB751" s="44"/>
      <c r="AC751" s="44"/>
      <c r="AD751" s="44"/>
      <c r="AE751" s="44"/>
      <c r="AF751" s="44"/>
      <c r="AG751" s="44"/>
      <c r="AH751" s="44"/>
      <c r="AI751" s="44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40"/>
      <c r="AA752" s="39"/>
      <c r="AB752" s="44"/>
      <c r="AC752" s="44"/>
      <c r="AD752" s="44"/>
      <c r="AE752" s="44"/>
      <c r="AF752" s="44"/>
      <c r="AG752" s="44"/>
      <c r="AH752" s="44"/>
      <c r="AI752" s="44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40"/>
      <c r="AA753" s="39"/>
      <c r="AB753" s="44"/>
      <c r="AC753" s="44"/>
      <c r="AD753" s="44"/>
      <c r="AE753" s="44"/>
      <c r="AF753" s="44"/>
      <c r="AG753" s="44"/>
      <c r="AH753" s="44"/>
      <c r="AI753" s="44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40"/>
      <c r="AA754" s="39"/>
      <c r="AB754" s="44"/>
      <c r="AC754" s="44"/>
      <c r="AD754" s="44"/>
      <c r="AE754" s="44"/>
      <c r="AF754" s="44"/>
      <c r="AG754" s="44"/>
      <c r="AH754" s="44"/>
      <c r="AI754" s="44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40"/>
      <c r="AA755" s="39"/>
      <c r="AB755" s="44"/>
      <c r="AC755" s="44"/>
      <c r="AD755" s="44"/>
      <c r="AE755" s="44"/>
      <c r="AF755" s="44"/>
      <c r="AG755" s="44"/>
      <c r="AH755" s="44"/>
      <c r="AI755" s="44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40"/>
      <c r="AA756" s="39"/>
      <c r="AB756" s="44"/>
      <c r="AC756" s="44"/>
      <c r="AD756" s="44"/>
      <c r="AE756" s="44"/>
      <c r="AF756" s="44"/>
      <c r="AG756" s="44"/>
      <c r="AH756" s="44"/>
      <c r="AI756" s="44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40"/>
      <c r="AA757" s="39"/>
      <c r="AB757" s="44"/>
      <c r="AC757" s="44"/>
      <c r="AD757" s="44"/>
      <c r="AE757" s="44"/>
      <c r="AF757" s="44"/>
      <c r="AG757" s="44"/>
      <c r="AH757" s="44"/>
      <c r="AI757" s="44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40"/>
      <c r="AA758" s="39"/>
      <c r="AB758" s="44"/>
      <c r="AC758" s="44"/>
      <c r="AD758" s="44"/>
      <c r="AE758" s="44"/>
      <c r="AF758" s="44"/>
      <c r="AG758" s="44"/>
      <c r="AH758" s="44"/>
      <c r="AI758" s="44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40"/>
      <c r="AA759" s="39"/>
      <c r="AB759" s="44"/>
      <c r="AC759" s="44"/>
      <c r="AD759" s="44"/>
      <c r="AE759" s="44"/>
      <c r="AF759" s="44"/>
      <c r="AG759" s="44"/>
      <c r="AH759" s="44"/>
      <c r="AI759" s="44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40"/>
      <c r="AA760" s="39"/>
      <c r="AB760" s="44"/>
      <c r="AC760" s="44"/>
      <c r="AD760" s="44"/>
      <c r="AE760" s="44"/>
      <c r="AF760" s="44"/>
      <c r="AG760" s="44"/>
      <c r="AH760" s="44"/>
      <c r="AI760" s="44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40"/>
      <c r="AA761" s="39"/>
      <c r="AB761" s="44"/>
      <c r="AC761" s="44"/>
      <c r="AD761" s="44"/>
      <c r="AE761" s="44"/>
      <c r="AF761" s="44"/>
      <c r="AG761" s="44"/>
      <c r="AH761" s="44"/>
      <c r="AI761" s="44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40"/>
      <c r="AA762" s="39"/>
      <c r="AB762" s="44"/>
      <c r="AC762" s="44"/>
      <c r="AD762" s="44"/>
      <c r="AE762" s="44"/>
      <c r="AF762" s="44"/>
      <c r="AG762" s="44"/>
      <c r="AH762" s="44"/>
      <c r="AI762" s="44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40"/>
      <c r="AA763" s="39"/>
      <c r="AB763" s="44"/>
      <c r="AC763" s="44"/>
      <c r="AD763" s="44"/>
      <c r="AE763" s="44"/>
      <c r="AF763" s="44"/>
      <c r="AG763" s="44"/>
      <c r="AH763" s="44"/>
      <c r="AI763" s="44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40"/>
      <c r="AA764" s="39"/>
      <c r="AB764" s="44"/>
      <c r="AC764" s="44"/>
      <c r="AD764" s="44"/>
      <c r="AE764" s="44"/>
      <c r="AF764" s="44"/>
      <c r="AG764" s="44"/>
      <c r="AH764" s="44"/>
      <c r="AI764" s="44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40"/>
      <c r="AA765" s="39"/>
      <c r="AB765" s="44"/>
      <c r="AC765" s="44"/>
      <c r="AD765" s="44"/>
      <c r="AE765" s="44"/>
      <c r="AF765" s="44"/>
      <c r="AG765" s="44"/>
      <c r="AH765" s="44"/>
      <c r="AI765" s="44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40"/>
      <c r="AA766" s="39"/>
      <c r="AB766" s="44"/>
      <c r="AC766" s="44"/>
      <c r="AD766" s="44"/>
      <c r="AE766" s="44"/>
      <c r="AF766" s="44"/>
      <c r="AG766" s="44"/>
      <c r="AH766" s="44"/>
      <c r="AI766" s="44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40"/>
      <c r="AA767" s="39"/>
      <c r="AB767" s="44"/>
      <c r="AC767" s="44"/>
      <c r="AD767" s="44"/>
      <c r="AE767" s="44"/>
      <c r="AF767" s="44"/>
      <c r="AG767" s="44"/>
      <c r="AH767" s="44"/>
      <c r="AI767" s="44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40"/>
      <c r="AA768" s="39"/>
      <c r="AB768" s="44"/>
      <c r="AC768" s="44"/>
      <c r="AD768" s="44"/>
      <c r="AE768" s="44"/>
      <c r="AF768" s="44"/>
      <c r="AG768" s="44"/>
      <c r="AH768" s="44"/>
      <c r="AI768" s="44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40"/>
      <c r="AA769" s="39"/>
      <c r="AB769" s="44"/>
      <c r="AC769" s="44"/>
      <c r="AD769" s="44"/>
      <c r="AE769" s="44"/>
      <c r="AF769" s="44"/>
      <c r="AG769" s="44"/>
      <c r="AH769" s="44"/>
      <c r="AI769" s="44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40"/>
      <c r="AA770" s="39"/>
      <c r="AB770" s="44"/>
      <c r="AC770" s="44"/>
      <c r="AD770" s="44"/>
      <c r="AE770" s="44"/>
      <c r="AF770" s="44"/>
      <c r="AG770" s="44"/>
      <c r="AH770" s="44"/>
      <c r="AI770" s="44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40"/>
      <c r="AA771" s="39"/>
      <c r="AB771" s="44"/>
      <c r="AC771" s="44"/>
      <c r="AD771" s="44"/>
      <c r="AE771" s="44"/>
      <c r="AF771" s="44"/>
      <c r="AG771" s="44"/>
      <c r="AH771" s="44"/>
      <c r="AI771" s="44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40"/>
      <c r="AA772" s="39"/>
      <c r="AB772" s="44"/>
      <c r="AC772" s="44"/>
      <c r="AD772" s="44"/>
      <c r="AE772" s="44"/>
      <c r="AF772" s="44"/>
      <c r="AG772" s="44"/>
      <c r="AH772" s="44"/>
      <c r="AI772" s="44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40"/>
      <c r="AA773" s="39"/>
      <c r="AB773" s="44"/>
      <c r="AC773" s="44"/>
      <c r="AD773" s="44"/>
      <c r="AE773" s="44"/>
      <c r="AF773" s="44"/>
      <c r="AG773" s="44"/>
      <c r="AH773" s="44"/>
      <c r="AI773" s="44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40"/>
      <c r="AA774" s="39"/>
      <c r="AB774" s="44"/>
      <c r="AC774" s="44"/>
      <c r="AD774" s="44"/>
      <c r="AE774" s="44"/>
      <c r="AF774" s="44"/>
      <c r="AG774" s="44"/>
      <c r="AH774" s="44"/>
      <c r="AI774" s="44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40"/>
      <c r="AA775" s="39"/>
      <c r="AB775" s="44"/>
      <c r="AC775" s="44"/>
      <c r="AD775" s="44"/>
      <c r="AE775" s="44"/>
      <c r="AF775" s="44"/>
      <c r="AG775" s="44"/>
      <c r="AH775" s="44"/>
      <c r="AI775" s="44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40"/>
      <c r="AA776" s="39"/>
      <c r="AB776" s="44"/>
      <c r="AC776" s="44"/>
      <c r="AD776" s="44"/>
      <c r="AE776" s="44"/>
      <c r="AF776" s="44"/>
      <c r="AG776" s="44"/>
      <c r="AH776" s="44"/>
      <c r="AI776" s="44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40"/>
      <c r="AA777" s="39"/>
      <c r="AB777" s="44"/>
      <c r="AC777" s="44"/>
      <c r="AD777" s="44"/>
      <c r="AE777" s="44"/>
      <c r="AF777" s="44"/>
      <c r="AG777" s="44"/>
      <c r="AH777" s="44"/>
      <c r="AI777" s="44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40"/>
      <c r="AA778" s="39"/>
      <c r="AB778" s="44"/>
      <c r="AC778" s="44"/>
      <c r="AD778" s="44"/>
      <c r="AE778" s="44"/>
      <c r="AF778" s="44"/>
      <c r="AG778" s="44"/>
      <c r="AH778" s="44"/>
      <c r="AI778" s="44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40"/>
      <c r="AA779" s="39"/>
      <c r="AB779" s="44"/>
      <c r="AC779" s="44"/>
      <c r="AD779" s="44"/>
      <c r="AE779" s="44"/>
      <c r="AF779" s="44"/>
      <c r="AG779" s="44"/>
      <c r="AH779" s="44"/>
      <c r="AI779" s="44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40"/>
      <c r="AA780" s="39"/>
      <c r="AB780" s="44"/>
      <c r="AC780" s="44"/>
      <c r="AD780" s="44"/>
      <c r="AE780" s="44"/>
      <c r="AF780" s="44"/>
      <c r="AG780" s="44"/>
      <c r="AH780" s="44"/>
      <c r="AI780" s="44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40"/>
      <c r="AA781" s="39"/>
      <c r="AB781" s="44"/>
      <c r="AC781" s="44"/>
      <c r="AD781" s="44"/>
      <c r="AE781" s="44"/>
      <c r="AF781" s="44"/>
      <c r="AG781" s="44"/>
      <c r="AH781" s="44"/>
      <c r="AI781" s="44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40"/>
      <c r="AA782" s="39"/>
      <c r="AB782" s="44"/>
      <c r="AC782" s="44"/>
      <c r="AD782" s="44"/>
      <c r="AE782" s="44"/>
      <c r="AF782" s="44"/>
      <c r="AG782" s="44"/>
      <c r="AH782" s="44"/>
      <c r="AI782" s="44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40"/>
      <c r="AA783" s="39"/>
      <c r="AB783" s="44"/>
      <c r="AC783" s="44"/>
      <c r="AD783" s="44"/>
      <c r="AE783" s="44"/>
      <c r="AF783" s="44"/>
      <c r="AG783" s="44"/>
      <c r="AH783" s="44"/>
      <c r="AI783" s="44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40"/>
      <c r="AA784" s="39"/>
      <c r="AB784" s="44"/>
      <c r="AC784" s="44"/>
      <c r="AD784" s="44"/>
      <c r="AE784" s="44"/>
      <c r="AF784" s="44"/>
      <c r="AG784" s="44"/>
      <c r="AH784" s="44"/>
      <c r="AI784" s="44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40"/>
      <c r="AA785" s="39"/>
      <c r="AB785" s="44"/>
      <c r="AC785" s="44"/>
      <c r="AD785" s="44"/>
      <c r="AE785" s="44"/>
      <c r="AF785" s="44"/>
      <c r="AG785" s="44"/>
      <c r="AH785" s="44"/>
      <c r="AI785" s="44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40"/>
      <c r="AA786" s="39"/>
      <c r="AB786" s="44"/>
      <c r="AC786" s="44"/>
      <c r="AD786" s="44"/>
      <c r="AE786" s="44"/>
      <c r="AF786" s="44"/>
      <c r="AG786" s="44"/>
      <c r="AH786" s="44"/>
      <c r="AI786" s="44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40"/>
      <c r="AA787" s="39"/>
      <c r="AB787" s="44"/>
      <c r="AC787" s="44"/>
      <c r="AD787" s="44"/>
      <c r="AE787" s="44"/>
      <c r="AF787" s="44"/>
      <c r="AG787" s="44"/>
      <c r="AH787" s="44"/>
      <c r="AI787" s="44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39"/>
      <c r="AB788" s="44"/>
      <c r="AC788" s="44"/>
      <c r="AD788" s="44"/>
      <c r="AE788" s="44"/>
      <c r="AF788" s="44"/>
      <c r="AG788" s="44"/>
      <c r="AH788" s="44"/>
      <c r="AI788" s="44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40"/>
      <c r="AA789" s="39"/>
      <c r="AB789" s="44"/>
      <c r="AC789" s="44"/>
      <c r="AD789" s="44"/>
      <c r="AE789" s="44"/>
      <c r="AF789" s="44"/>
      <c r="AG789" s="44"/>
      <c r="AH789" s="44"/>
      <c r="AI789" s="44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40"/>
      <c r="AA790" s="39"/>
      <c r="AB790" s="44"/>
      <c r="AC790" s="44"/>
      <c r="AD790" s="44"/>
      <c r="AE790" s="44"/>
      <c r="AF790" s="44"/>
      <c r="AG790" s="44"/>
      <c r="AH790" s="44"/>
      <c r="AI790" s="44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40"/>
      <c r="AA791" s="39"/>
      <c r="AB791" s="44"/>
      <c r="AC791" s="44"/>
      <c r="AD791" s="44"/>
      <c r="AE791" s="44"/>
      <c r="AF791" s="44"/>
      <c r="AG791" s="44"/>
      <c r="AH791" s="44"/>
      <c r="AI791" s="44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40"/>
      <c r="AA792" s="39"/>
      <c r="AB792" s="44"/>
      <c r="AC792" s="44"/>
      <c r="AD792" s="44"/>
      <c r="AE792" s="44"/>
      <c r="AF792" s="44"/>
      <c r="AG792" s="44"/>
      <c r="AH792" s="44"/>
      <c r="AI792" s="44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40"/>
      <c r="AA793" s="39"/>
      <c r="AB793" s="44"/>
      <c r="AC793" s="44"/>
      <c r="AD793" s="44"/>
      <c r="AE793" s="44"/>
      <c r="AF793" s="44"/>
      <c r="AG793" s="44"/>
      <c r="AH793" s="44"/>
      <c r="AI793" s="44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40"/>
      <c r="AA794" s="39"/>
      <c r="AB794" s="44"/>
      <c r="AC794" s="44"/>
      <c r="AD794" s="44"/>
      <c r="AE794" s="44"/>
      <c r="AF794" s="44"/>
      <c r="AG794" s="44"/>
      <c r="AH794" s="44"/>
      <c r="AI794" s="44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40"/>
      <c r="AA795" s="39"/>
      <c r="AB795" s="44"/>
      <c r="AC795" s="44"/>
      <c r="AD795" s="44"/>
      <c r="AE795" s="44"/>
      <c r="AF795" s="44"/>
      <c r="AG795" s="44"/>
      <c r="AH795" s="44"/>
      <c r="AI795" s="44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40"/>
      <c r="AA796" s="39"/>
      <c r="AB796" s="44"/>
      <c r="AC796" s="44"/>
      <c r="AD796" s="44"/>
      <c r="AE796" s="44"/>
      <c r="AF796" s="44"/>
      <c r="AG796" s="44"/>
      <c r="AH796" s="44"/>
      <c r="AI796" s="44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40"/>
      <c r="AA797" s="39"/>
      <c r="AB797" s="44"/>
      <c r="AC797" s="44"/>
      <c r="AD797" s="44"/>
      <c r="AE797" s="44"/>
      <c r="AF797" s="44"/>
      <c r="AG797" s="44"/>
      <c r="AH797" s="44"/>
      <c r="AI797" s="44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40"/>
      <c r="AA798" s="39"/>
      <c r="AB798" s="44"/>
      <c r="AC798" s="44"/>
      <c r="AD798" s="44"/>
      <c r="AE798" s="44"/>
      <c r="AF798" s="44"/>
      <c r="AG798" s="44"/>
      <c r="AH798" s="44"/>
      <c r="AI798" s="44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40"/>
      <c r="AA799" s="39"/>
      <c r="AB799" s="44"/>
      <c r="AC799" s="44"/>
      <c r="AD799" s="44"/>
      <c r="AE799" s="44"/>
      <c r="AF799" s="44"/>
      <c r="AG799" s="44"/>
      <c r="AH799" s="44"/>
      <c r="AI799" s="44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40"/>
      <c r="AA800" s="39"/>
      <c r="AB800" s="44"/>
      <c r="AC800" s="44"/>
      <c r="AD800" s="44"/>
      <c r="AE800" s="44"/>
      <c r="AF800" s="44"/>
      <c r="AG800" s="44"/>
      <c r="AH800" s="44"/>
      <c r="AI800" s="44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40"/>
      <c r="AA801" s="39"/>
      <c r="AB801" s="44"/>
      <c r="AC801" s="44"/>
      <c r="AD801" s="44"/>
      <c r="AE801" s="44"/>
      <c r="AF801" s="44"/>
      <c r="AG801" s="44"/>
      <c r="AH801" s="44"/>
      <c r="AI801" s="44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40"/>
      <c r="AA802" s="39"/>
      <c r="AB802" s="44"/>
      <c r="AC802" s="44"/>
      <c r="AD802" s="44"/>
      <c r="AE802" s="44"/>
      <c r="AF802" s="44"/>
      <c r="AG802" s="44"/>
      <c r="AH802" s="44"/>
      <c r="AI802" s="44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40"/>
      <c r="AA803" s="39"/>
      <c r="AB803" s="44"/>
      <c r="AC803" s="44"/>
      <c r="AD803" s="44"/>
      <c r="AE803" s="44"/>
      <c r="AF803" s="44"/>
      <c r="AG803" s="44"/>
      <c r="AH803" s="44"/>
      <c r="AI803" s="44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40"/>
      <c r="AA804" s="39"/>
      <c r="AB804" s="44"/>
      <c r="AC804" s="44"/>
      <c r="AD804" s="44"/>
      <c r="AE804" s="44"/>
      <c r="AF804" s="44"/>
      <c r="AG804" s="44"/>
      <c r="AH804" s="44"/>
      <c r="AI804" s="44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40"/>
      <c r="AA805" s="39"/>
      <c r="AB805" s="44"/>
      <c r="AC805" s="44"/>
      <c r="AD805" s="44"/>
      <c r="AE805" s="44"/>
      <c r="AF805" s="44"/>
      <c r="AG805" s="44"/>
      <c r="AH805" s="44"/>
      <c r="AI805" s="44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40"/>
      <c r="AA806" s="39"/>
      <c r="AB806" s="44"/>
      <c r="AC806" s="44"/>
      <c r="AD806" s="44"/>
      <c r="AE806" s="44"/>
      <c r="AF806" s="44"/>
      <c r="AG806" s="44"/>
      <c r="AH806" s="44"/>
      <c r="AI806" s="44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40"/>
      <c r="AA807" s="39"/>
      <c r="AB807" s="44"/>
      <c r="AC807" s="44"/>
      <c r="AD807" s="44"/>
      <c r="AE807" s="44"/>
      <c r="AF807" s="44"/>
      <c r="AG807" s="44"/>
      <c r="AH807" s="44"/>
      <c r="AI807" s="44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40"/>
      <c r="AA808" s="39"/>
      <c r="AB808" s="44"/>
      <c r="AC808" s="44"/>
      <c r="AD808" s="44"/>
      <c r="AE808" s="44"/>
      <c r="AF808" s="44"/>
      <c r="AG808" s="44"/>
      <c r="AH808" s="44"/>
      <c r="AI808" s="44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40"/>
      <c r="AA809" s="39"/>
      <c r="AB809" s="44"/>
      <c r="AC809" s="44"/>
      <c r="AD809" s="44"/>
      <c r="AE809" s="44"/>
      <c r="AF809" s="44"/>
      <c r="AG809" s="44"/>
      <c r="AH809" s="44"/>
      <c r="AI809" s="44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40"/>
      <c r="AA810" s="39"/>
      <c r="AB810" s="44"/>
      <c r="AC810" s="44"/>
      <c r="AD810" s="44"/>
      <c r="AE810" s="44"/>
      <c r="AF810" s="44"/>
      <c r="AG810" s="44"/>
      <c r="AH810" s="44"/>
      <c r="AI810" s="44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40"/>
      <c r="AA811" s="39"/>
      <c r="AB811" s="44"/>
      <c r="AC811" s="44"/>
      <c r="AD811" s="44"/>
      <c r="AE811" s="44"/>
      <c r="AF811" s="44"/>
      <c r="AG811" s="44"/>
      <c r="AH811" s="44"/>
      <c r="AI811" s="44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40"/>
      <c r="AA812" s="39"/>
      <c r="AB812" s="44"/>
      <c r="AC812" s="44"/>
      <c r="AD812" s="44"/>
      <c r="AE812" s="44"/>
      <c r="AF812" s="44"/>
      <c r="AG812" s="44"/>
      <c r="AH812" s="44"/>
      <c r="AI812" s="44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40"/>
      <c r="AA813" s="39"/>
      <c r="AB813" s="44"/>
      <c r="AC813" s="44"/>
      <c r="AD813" s="44"/>
      <c r="AE813" s="44"/>
      <c r="AF813" s="44"/>
      <c r="AG813" s="44"/>
      <c r="AH813" s="44"/>
      <c r="AI813" s="44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40"/>
      <c r="AA814" s="39"/>
      <c r="AB814" s="44"/>
      <c r="AC814" s="44"/>
      <c r="AD814" s="44"/>
      <c r="AE814" s="44"/>
      <c r="AF814" s="44"/>
      <c r="AG814" s="44"/>
      <c r="AH814" s="44"/>
      <c r="AI814" s="44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40"/>
      <c r="AA815" s="39"/>
      <c r="AB815" s="44"/>
      <c r="AC815" s="44"/>
      <c r="AD815" s="44"/>
      <c r="AE815" s="44"/>
      <c r="AF815" s="44"/>
      <c r="AG815" s="44"/>
      <c r="AH815" s="44"/>
      <c r="AI815" s="44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40"/>
      <c r="AA816" s="39"/>
      <c r="AB816" s="44"/>
      <c r="AC816" s="44"/>
      <c r="AD816" s="44"/>
      <c r="AE816" s="44"/>
      <c r="AF816" s="44"/>
      <c r="AG816" s="44"/>
      <c r="AH816" s="44"/>
      <c r="AI816" s="44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40"/>
      <c r="AA817" s="39"/>
      <c r="AB817" s="44"/>
      <c r="AC817" s="44"/>
      <c r="AD817" s="44"/>
      <c r="AE817" s="44"/>
      <c r="AF817" s="44"/>
      <c r="AG817" s="44"/>
      <c r="AH817" s="44"/>
      <c r="AI817" s="44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40"/>
      <c r="AA818" s="39"/>
      <c r="AB818" s="44"/>
      <c r="AC818" s="44"/>
      <c r="AD818" s="44"/>
      <c r="AE818" s="44"/>
      <c r="AF818" s="44"/>
      <c r="AG818" s="44"/>
      <c r="AH818" s="44"/>
      <c r="AI818" s="44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40"/>
      <c r="AA819" s="39"/>
      <c r="AB819" s="44"/>
      <c r="AC819" s="44"/>
      <c r="AD819" s="44"/>
      <c r="AE819" s="44"/>
      <c r="AF819" s="44"/>
      <c r="AG819" s="44"/>
      <c r="AH819" s="44"/>
      <c r="AI819" s="44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40"/>
      <c r="AA820" s="39"/>
      <c r="AB820" s="44"/>
      <c r="AC820" s="44"/>
      <c r="AD820" s="44"/>
      <c r="AE820" s="44"/>
      <c r="AF820" s="44"/>
      <c r="AG820" s="44"/>
      <c r="AH820" s="44"/>
      <c r="AI820" s="44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40"/>
      <c r="AA821" s="39"/>
      <c r="AB821" s="44"/>
      <c r="AC821" s="44"/>
      <c r="AD821" s="44"/>
      <c r="AE821" s="44"/>
      <c r="AF821" s="44"/>
      <c r="AG821" s="44"/>
      <c r="AH821" s="44"/>
      <c r="AI821" s="44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40"/>
      <c r="AA822" s="39"/>
      <c r="AB822" s="44"/>
      <c r="AC822" s="44"/>
      <c r="AD822" s="44"/>
      <c r="AE822" s="44"/>
      <c r="AF822" s="44"/>
      <c r="AG822" s="44"/>
      <c r="AH822" s="44"/>
      <c r="AI822" s="44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40"/>
      <c r="AA823" s="39"/>
      <c r="AB823" s="44"/>
      <c r="AC823" s="44"/>
      <c r="AD823" s="44"/>
      <c r="AE823" s="44"/>
      <c r="AF823" s="44"/>
      <c r="AG823" s="44"/>
      <c r="AH823" s="44"/>
      <c r="AI823" s="44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40"/>
      <c r="AA824" s="39"/>
      <c r="AB824" s="44"/>
      <c r="AC824" s="44"/>
      <c r="AD824" s="44"/>
      <c r="AE824" s="44"/>
      <c r="AF824" s="44"/>
      <c r="AG824" s="44"/>
      <c r="AH824" s="44"/>
      <c r="AI824" s="44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40"/>
      <c r="AA825" s="39"/>
      <c r="AB825" s="44"/>
      <c r="AC825" s="44"/>
      <c r="AD825" s="44"/>
      <c r="AE825" s="44"/>
      <c r="AF825" s="44"/>
      <c r="AG825" s="44"/>
      <c r="AH825" s="44"/>
      <c r="AI825" s="44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39"/>
      <c r="AB826" s="44"/>
      <c r="AC826" s="44"/>
      <c r="AD826" s="44"/>
      <c r="AE826" s="44"/>
      <c r="AF826" s="44"/>
      <c r="AG826" s="44"/>
      <c r="AH826" s="44"/>
      <c r="AI826" s="44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40"/>
      <c r="AA827" s="39"/>
      <c r="AB827" s="44"/>
      <c r="AC827" s="44"/>
      <c r="AD827" s="44"/>
      <c r="AE827" s="44"/>
      <c r="AF827" s="44"/>
      <c r="AG827" s="44"/>
      <c r="AH827" s="44"/>
      <c r="AI827" s="44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40"/>
      <c r="AA828" s="39"/>
      <c r="AB828" s="44"/>
      <c r="AC828" s="44"/>
      <c r="AD828" s="44"/>
      <c r="AE828" s="44"/>
      <c r="AF828" s="44"/>
      <c r="AG828" s="44"/>
      <c r="AH828" s="44"/>
      <c r="AI828" s="44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40"/>
      <c r="AA829" s="39"/>
      <c r="AB829" s="44"/>
      <c r="AC829" s="44"/>
      <c r="AD829" s="44"/>
      <c r="AE829" s="44"/>
      <c r="AF829" s="44"/>
      <c r="AG829" s="44"/>
      <c r="AH829" s="44"/>
      <c r="AI829" s="44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40"/>
      <c r="AA830" s="39"/>
      <c r="AB830" s="44"/>
      <c r="AC830" s="44"/>
      <c r="AD830" s="44"/>
      <c r="AE830" s="44"/>
      <c r="AF830" s="44"/>
      <c r="AG830" s="44"/>
      <c r="AH830" s="44"/>
      <c r="AI830" s="44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40"/>
      <c r="AA831" s="39"/>
      <c r="AB831" s="44"/>
      <c r="AC831" s="44"/>
      <c r="AD831" s="44"/>
      <c r="AE831" s="44"/>
      <c r="AF831" s="44"/>
      <c r="AG831" s="44"/>
      <c r="AH831" s="44"/>
      <c r="AI831" s="44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40"/>
      <c r="AA832" s="39"/>
      <c r="AB832" s="44"/>
      <c r="AC832" s="44"/>
      <c r="AD832" s="44"/>
      <c r="AE832" s="44"/>
      <c r="AF832" s="44"/>
      <c r="AG832" s="44"/>
      <c r="AH832" s="44"/>
      <c r="AI832" s="44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40"/>
      <c r="AA833" s="39"/>
      <c r="AB833" s="44"/>
      <c r="AC833" s="44"/>
      <c r="AD833" s="44"/>
      <c r="AE833" s="44"/>
      <c r="AF833" s="44"/>
      <c r="AG833" s="44"/>
      <c r="AH833" s="44"/>
      <c r="AI833" s="44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40"/>
      <c r="AA834" s="39"/>
      <c r="AB834" s="44"/>
      <c r="AC834" s="44"/>
      <c r="AD834" s="44"/>
      <c r="AE834" s="44"/>
      <c r="AF834" s="44"/>
      <c r="AG834" s="44"/>
      <c r="AH834" s="44"/>
      <c r="AI834" s="44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40"/>
      <c r="AA835" s="39"/>
      <c r="AB835" s="44"/>
      <c r="AC835" s="44"/>
      <c r="AD835" s="44"/>
      <c r="AE835" s="44"/>
      <c r="AF835" s="44"/>
      <c r="AG835" s="44"/>
      <c r="AH835" s="44"/>
      <c r="AI835" s="44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40"/>
      <c r="AA836" s="39"/>
      <c r="AB836" s="44"/>
      <c r="AC836" s="44"/>
      <c r="AD836" s="44"/>
      <c r="AE836" s="44"/>
      <c r="AF836" s="44"/>
      <c r="AG836" s="44"/>
      <c r="AH836" s="44"/>
      <c r="AI836" s="44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40"/>
      <c r="AA837" s="39"/>
      <c r="AB837" s="44"/>
      <c r="AC837" s="44"/>
      <c r="AD837" s="44"/>
      <c r="AE837" s="44"/>
      <c r="AF837" s="44"/>
      <c r="AG837" s="44"/>
      <c r="AH837" s="44"/>
      <c r="AI837" s="44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40"/>
      <c r="AA838" s="39"/>
      <c r="AB838" s="44"/>
      <c r="AC838" s="44"/>
      <c r="AD838" s="44"/>
      <c r="AE838" s="44"/>
      <c r="AF838" s="44"/>
      <c r="AG838" s="44"/>
      <c r="AH838" s="44"/>
      <c r="AI838" s="44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40"/>
      <c r="AA839" s="39"/>
      <c r="AB839" s="44"/>
      <c r="AC839" s="44"/>
      <c r="AD839" s="44"/>
      <c r="AE839" s="44"/>
      <c r="AF839" s="44"/>
      <c r="AG839" s="44"/>
      <c r="AH839" s="44"/>
      <c r="AI839" s="44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40"/>
      <c r="AA840" s="39"/>
      <c r="AB840" s="44"/>
      <c r="AC840" s="44"/>
      <c r="AD840" s="44"/>
      <c r="AE840" s="44"/>
      <c r="AF840" s="44"/>
      <c r="AG840" s="44"/>
      <c r="AH840" s="44"/>
      <c r="AI840" s="44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40"/>
      <c r="AA841" s="39"/>
      <c r="AB841" s="44"/>
      <c r="AC841" s="44"/>
      <c r="AD841" s="44"/>
      <c r="AE841" s="44"/>
      <c r="AF841" s="44"/>
      <c r="AG841" s="44"/>
      <c r="AH841" s="44"/>
      <c r="AI841" s="44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40"/>
      <c r="AA842" s="39"/>
      <c r="AB842" s="44"/>
      <c r="AC842" s="44"/>
      <c r="AD842" s="44"/>
      <c r="AE842" s="44"/>
      <c r="AF842" s="44"/>
      <c r="AG842" s="44"/>
      <c r="AH842" s="44"/>
      <c r="AI842" s="44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40"/>
      <c r="AA843" s="39"/>
      <c r="AB843" s="44"/>
      <c r="AC843" s="44"/>
      <c r="AD843" s="44"/>
      <c r="AE843" s="44"/>
      <c r="AF843" s="44"/>
      <c r="AG843" s="44"/>
      <c r="AH843" s="44"/>
      <c r="AI843" s="44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40"/>
      <c r="AA844" s="39"/>
      <c r="AB844" s="44"/>
      <c r="AC844" s="44"/>
      <c r="AD844" s="44"/>
      <c r="AE844" s="44"/>
      <c r="AF844" s="44"/>
      <c r="AG844" s="44"/>
      <c r="AH844" s="44"/>
      <c r="AI844" s="44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40"/>
      <c r="AA845" s="39"/>
      <c r="AB845" s="44"/>
      <c r="AC845" s="44"/>
      <c r="AD845" s="44"/>
      <c r="AE845" s="44"/>
      <c r="AF845" s="44"/>
      <c r="AG845" s="44"/>
      <c r="AH845" s="44"/>
      <c r="AI845" s="44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40"/>
      <c r="AA846" s="39"/>
      <c r="AB846" s="44"/>
      <c r="AC846" s="44"/>
      <c r="AD846" s="44"/>
      <c r="AE846" s="44"/>
      <c r="AF846" s="44"/>
      <c r="AG846" s="44"/>
      <c r="AH846" s="44"/>
      <c r="AI846" s="44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40"/>
      <c r="AA847" s="39"/>
      <c r="AB847" s="44"/>
      <c r="AC847" s="44"/>
      <c r="AD847" s="44"/>
      <c r="AE847" s="44"/>
      <c r="AF847" s="44"/>
      <c r="AG847" s="44"/>
      <c r="AH847" s="44"/>
      <c r="AI847" s="44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40"/>
      <c r="AA848" s="39"/>
      <c r="AB848" s="44"/>
      <c r="AC848" s="44"/>
      <c r="AD848" s="44"/>
      <c r="AE848" s="44"/>
      <c r="AF848" s="44"/>
      <c r="AG848" s="44"/>
      <c r="AH848" s="44"/>
      <c r="AI848" s="44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40"/>
      <c r="AA849" s="39"/>
      <c r="AB849" s="44"/>
      <c r="AC849" s="44"/>
      <c r="AD849" s="44"/>
      <c r="AE849" s="44"/>
      <c r="AF849" s="44"/>
      <c r="AG849" s="44"/>
      <c r="AH849" s="44"/>
      <c r="AI849" s="44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40"/>
      <c r="AA850" s="39"/>
      <c r="AB850" s="44"/>
      <c r="AC850" s="44"/>
      <c r="AD850" s="44"/>
      <c r="AE850" s="44"/>
      <c r="AF850" s="44"/>
      <c r="AG850" s="44"/>
      <c r="AH850" s="44"/>
      <c r="AI850" s="44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40"/>
      <c r="AA851" s="39"/>
      <c r="AB851" s="44"/>
      <c r="AC851" s="44"/>
      <c r="AD851" s="44"/>
      <c r="AE851" s="44"/>
      <c r="AF851" s="44"/>
      <c r="AG851" s="44"/>
      <c r="AH851" s="44"/>
      <c r="AI851" s="44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40"/>
      <c r="AA852" s="39"/>
      <c r="AB852" s="44"/>
      <c r="AC852" s="44"/>
      <c r="AD852" s="44"/>
      <c r="AE852" s="44"/>
      <c r="AF852" s="44"/>
      <c r="AG852" s="44"/>
      <c r="AH852" s="44"/>
      <c r="AI852" s="44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40"/>
      <c r="AA853" s="39"/>
      <c r="AB853" s="44"/>
      <c r="AC853" s="44"/>
      <c r="AD853" s="44"/>
      <c r="AE853" s="44"/>
      <c r="AF853" s="44"/>
      <c r="AG853" s="44"/>
      <c r="AH853" s="44"/>
      <c r="AI853" s="44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40"/>
      <c r="AA854" s="39"/>
      <c r="AB854" s="44"/>
      <c r="AC854" s="44"/>
      <c r="AD854" s="44"/>
      <c r="AE854" s="44"/>
      <c r="AF854" s="44"/>
      <c r="AG854" s="44"/>
      <c r="AH854" s="44"/>
      <c r="AI854" s="44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40"/>
      <c r="AA855" s="39"/>
      <c r="AB855" s="44"/>
      <c r="AC855" s="44"/>
      <c r="AD855" s="44"/>
      <c r="AE855" s="44"/>
      <c r="AF855" s="44"/>
      <c r="AG855" s="44"/>
      <c r="AH855" s="44"/>
      <c r="AI855" s="44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40"/>
      <c r="AA856" s="39"/>
      <c r="AB856" s="44"/>
      <c r="AC856" s="44"/>
      <c r="AD856" s="44"/>
      <c r="AE856" s="44"/>
      <c r="AF856" s="44"/>
      <c r="AG856" s="44"/>
      <c r="AH856" s="44"/>
      <c r="AI856" s="44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40"/>
      <c r="AA857" s="39"/>
      <c r="AB857" s="44"/>
      <c r="AC857" s="44"/>
      <c r="AD857" s="44"/>
      <c r="AE857" s="44"/>
      <c r="AF857" s="44"/>
      <c r="AG857" s="44"/>
      <c r="AH857" s="44"/>
      <c r="AI857" s="44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40"/>
      <c r="AA858" s="39"/>
      <c r="AB858" s="44"/>
      <c r="AC858" s="44"/>
      <c r="AD858" s="44"/>
      <c r="AE858" s="44"/>
      <c r="AF858" s="44"/>
      <c r="AG858" s="44"/>
      <c r="AH858" s="44"/>
      <c r="AI858" s="44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40"/>
      <c r="AA859" s="39"/>
      <c r="AB859" s="44"/>
      <c r="AC859" s="44"/>
      <c r="AD859" s="44"/>
      <c r="AE859" s="44"/>
      <c r="AF859" s="44"/>
      <c r="AG859" s="44"/>
      <c r="AH859" s="44"/>
      <c r="AI859" s="44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40"/>
      <c r="AA860" s="39"/>
      <c r="AB860" s="44"/>
      <c r="AC860" s="44"/>
      <c r="AD860" s="44"/>
      <c r="AE860" s="44"/>
      <c r="AF860" s="44"/>
      <c r="AG860" s="44"/>
      <c r="AH860" s="44"/>
      <c r="AI860" s="44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40"/>
      <c r="AA861" s="39"/>
      <c r="AB861" s="44"/>
      <c r="AC861" s="44"/>
      <c r="AD861" s="44"/>
      <c r="AE861" s="44"/>
      <c r="AF861" s="44"/>
      <c r="AG861" s="44"/>
      <c r="AH861" s="44"/>
      <c r="AI861" s="44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40"/>
      <c r="AA862" s="39"/>
      <c r="AB862" s="44"/>
      <c r="AC862" s="44"/>
      <c r="AD862" s="44"/>
      <c r="AE862" s="44"/>
      <c r="AF862" s="44"/>
      <c r="AG862" s="44"/>
      <c r="AH862" s="44"/>
      <c r="AI862" s="44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40"/>
      <c r="AA863" s="39"/>
      <c r="AB863" s="44"/>
      <c r="AC863" s="44"/>
      <c r="AD863" s="44"/>
      <c r="AE863" s="44"/>
      <c r="AF863" s="44"/>
      <c r="AG863" s="44"/>
      <c r="AH863" s="44"/>
      <c r="AI863" s="44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39"/>
      <c r="AB864" s="44"/>
      <c r="AC864" s="44"/>
      <c r="AD864" s="44"/>
      <c r="AE864" s="44"/>
      <c r="AF864" s="44"/>
      <c r="AG864" s="44"/>
      <c r="AH864" s="44"/>
      <c r="AI864" s="44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40"/>
      <c r="AA865" s="39"/>
      <c r="AB865" s="44"/>
      <c r="AC865" s="44"/>
      <c r="AD865" s="44"/>
      <c r="AE865" s="44"/>
      <c r="AF865" s="44"/>
      <c r="AG865" s="44"/>
      <c r="AH865" s="44"/>
      <c r="AI865" s="44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40"/>
      <c r="AA866" s="39"/>
      <c r="AB866" s="44"/>
      <c r="AC866" s="44"/>
      <c r="AD866" s="44"/>
      <c r="AE866" s="44"/>
      <c r="AF866" s="44"/>
      <c r="AG866" s="44"/>
      <c r="AH866" s="44"/>
      <c r="AI866" s="44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40"/>
      <c r="AA867" s="39"/>
      <c r="AB867" s="44"/>
      <c r="AC867" s="44"/>
      <c r="AD867" s="44"/>
      <c r="AE867" s="44"/>
      <c r="AF867" s="44"/>
      <c r="AG867" s="44"/>
      <c r="AH867" s="44"/>
      <c r="AI867" s="44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40"/>
      <c r="AA868" s="39"/>
      <c r="AB868" s="44"/>
      <c r="AC868" s="44"/>
      <c r="AD868" s="44"/>
      <c r="AE868" s="44"/>
      <c r="AF868" s="44"/>
      <c r="AG868" s="44"/>
      <c r="AH868" s="44"/>
      <c r="AI868" s="44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40"/>
      <c r="AA869" s="39"/>
      <c r="AB869" s="44"/>
      <c r="AC869" s="44"/>
      <c r="AD869" s="44"/>
      <c r="AE869" s="44"/>
      <c r="AF869" s="44"/>
      <c r="AG869" s="44"/>
      <c r="AH869" s="44"/>
      <c r="AI869" s="44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40"/>
      <c r="AA870" s="39"/>
      <c r="AB870" s="44"/>
      <c r="AC870" s="44"/>
      <c r="AD870" s="44"/>
      <c r="AE870" s="44"/>
      <c r="AF870" s="44"/>
      <c r="AG870" s="44"/>
      <c r="AH870" s="44"/>
      <c r="AI870" s="44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40"/>
      <c r="AA871" s="39"/>
      <c r="AB871" s="44"/>
      <c r="AC871" s="44"/>
      <c r="AD871" s="44"/>
      <c r="AE871" s="44"/>
      <c r="AF871" s="44"/>
      <c r="AG871" s="44"/>
      <c r="AH871" s="44"/>
      <c r="AI871" s="44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40"/>
      <c r="AA872" s="39"/>
      <c r="AB872" s="44"/>
      <c r="AC872" s="44"/>
      <c r="AD872" s="44"/>
      <c r="AE872" s="44"/>
      <c r="AF872" s="44"/>
      <c r="AG872" s="44"/>
      <c r="AH872" s="44"/>
      <c r="AI872" s="44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40"/>
      <c r="AA873" s="39"/>
      <c r="AB873" s="44"/>
      <c r="AC873" s="44"/>
      <c r="AD873" s="44"/>
      <c r="AE873" s="44"/>
      <c r="AF873" s="44"/>
      <c r="AG873" s="44"/>
      <c r="AH873" s="44"/>
      <c r="AI873" s="44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40"/>
      <c r="AA874" s="39"/>
      <c r="AB874" s="44"/>
      <c r="AC874" s="44"/>
      <c r="AD874" s="44"/>
      <c r="AE874" s="44"/>
      <c r="AF874" s="44"/>
      <c r="AG874" s="44"/>
      <c r="AH874" s="44"/>
      <c r="AI874" s="44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40"/>
      <c r="AA875" s="39"/>
      <c r="AB875" s="44"/>
      <c r="AC875" s="44"/>
      <c r="AD875" s="44"/>
      <c r="AE875" s="44"/>
      <c r="AF875" s="44"/>
      <c r="AG875" s="44"/>
      <c r="AH875" s="44"/>
      <c r="AI875" s="44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40"/>
      <c r="AA876" s="39"/>
      <c r="AB876" s="44"/>
      <c r="AC876" s="44"/>
      <c r="AD876" s="44"/>
      <c r="AE876" s="44"/>
      <c r="AF876" s="44"/>
      <c r="AG876" s="44"/>
      <c r="AH876" s="44"/>
      <c r="AI876" s="44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40"/>
      <c r="AA877" s="39"/>
      <c r="AB877" s="44"/>
      <c r="AC877" s="44"/>
      <c r="AD877" s="44"/>
      <c r="AE877" s="44"/>
      <c r="AF877" s="44"/>
      <c r="AG877" s="44"/>
      <c r="AH877" s="44"/>
      <c r="AI877" s="44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40"/>
      <c r="AA878" s="39"/>
      <c r="AB878" s="44"/>
      <c r="AC878" s="44"/>
      <c r="AD878" s="44"/>
      <c r="AE878" s="44"/>
      <c r="AF878" s="44"/>
      <c r="AG878" s="44"/>
      <c r="AH878" s="44"/>
      <c r="AI878" s="44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40"/>
      <c r="AA879" s="39"/>
      <c r="AB879" s="44"/>
      <c r="AC879" s="44"/>
      <c r="AD879" s="44"/>
      <c r="AE879" s="44"/>
      <c r="AF879" s="44"/>
      <c r="AG879" s="44"/>
      <c r="AH879" s="44"/>
      <c r="AI879" s="44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40"/>
      <c r="AA880" s="39"/>
      <c r="AB880" s="44"/>
      <c r="AC880" s="44"/>
      <c r="AD880" s="44"/>
      <c r="AE880" s="44"/>
      <c r="AF880" s="44"/>
      <c r="AG880" s="44"/>
      <c r="AH880" s="44"/>
      <c r="AI880" s="44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40"/>
      <c r="AA881" s="39"/>
      <c r="AB881" s="44"/>
      <c r="AC881" s="44"/>
      <c r="AD881" s="44"/>
      <c r="AE881" s="44"/>
      <c r="AF881" s="44"/>
      <c r="AG881" s="44"/>
      <c r="AH881" s="44"/>
      <c r="AI881" s="44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40"/>
      <c r="AA882" s="39"/>
      <c r="AB882" s="44"/>
      <c r="AC882" s="44"/>
      <c r="AD882" s="44"/>
      <c r="AE882" s="44"/>
      <c r="AF882" s="44"/>
      <c r="AG882" s="44"/>
      <c r="AH882" s="44"/>
      <c r="AI882" s="44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40"/>
      <c r="AA883" s="39"/>
      <c r="AB883" s="44"/>
      <c r="AC883" s="44"/>
      <c r="AD883" s="44"/>
      <c r="AE883" s="44"/>
      <c r="AF883" s="44"/>
      <c r="AG883" s="44"/>
      <c r="AH883" s="44"/>
      <c r="AI883" s="44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40"/>
      <c r="AA884" s="39"/>
      <c r="AB884" s="44"/>
      <c r="AC884" s="44"/>
      <c r="AD884" s="44"/>
      <c r="AE884" s="44"/>
      <c r="AF884" s="44"/>
      <c r="AG884" s="44"/>
      <c r="AH884" s="44"/>
      <c r="AI884" s="44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40"/>
      <c r="AA885" s="39"/>
      <c r="AB885" s="44"/>
      <c r="AC885" s="44"/>
      <c r="AD885" s="44"/>
      <c r="AE885" s="44"/>
      <c r="AF885" s="44"/>
      <c r="AG885" s="44"/>
      <c r="AH885" s="44"/>
      <c r="AI885" s="44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40"/>
      <c r="AA886" s="39"/>
      <c r="AB886" s="44"/>
      <c r="AC886" s="44"/>
      <c r="AD886" s="44"/>
      <c r="AE886" s="44"/>
      <c r="AF886" s="44"/>
      <c r="AG886" s="44"/>
      <c r="AH886" s="44"/>
      <c r="AI886" s="44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40"/>
      <c r="AA887" s="39"/>
      <c r="AB887" s="44"/>
      <c r="AC887" s="44"/>
      <c r="AD887" s="44"/>
      <c r="AE887" s="44"/>
      <c r="AF887" s="44"/>
      <c r="AG887" s="44"/>
      <c r="AH887" s="44"/>
      <c r="AI887" s="44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40"/>
      <c r="AA888" s="39"/>
      <c r="AB888" s="44"/>
      <c r="AC888" s="44"/>
      <c r="AD888" s="44"/>
      <c r="AE888" s="44"/>
      <c r="AF888" s="44"/>
      <c r="AG888" s="44"/>
      <c r="AH888" s="44"/>
      <c r="AI888" s="44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40"/>
      <c r="AA889" s="39"/>
      <c r="AB889" s="44"/>
      <c r="AC889" s="44"/>
      <c r="AD889" s="44"/>
      <c r="AE889" s="44"/>
      <c r="AF889" s="44"/>
      <c r="AG889" s="44"/>
      <c r="AH889" s="44"/>
      <c r="AI889" s="44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40"/>
      <c r="AA890" s="39"/>
      <c r="AB890" s="44"/>
      <c r="AC890" s="44"/>
      <c r="AD890" s="44"/>
      <c r="AE890" s="44"/>
      <c r="AF890" s="44"/>
      <c r="AG890" s="44"/>
      <c r="AH890" s="44"/>
      <c r="AI890" s="44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40"/>
      <c r="AA891" s="39"/>
      <c r="AB891" s="44"/>
      <c r="AC891" s="44"/>
      <c r="AD891" s="44"/>
      <c r="AE891" s="44"/>
      <c r="AF891" s="44"/>
      <c r="AG891" s="44"/>
      <c r="AH891" s="44"/>
      <c r="AI891" s="44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40"/>
      <c r="AA892" s="39"/>
      <c r="AB892" s="44"/>
      <c r="AC892" s="44"/>
      <c r="AD892" s="44"/>
      <c r="AE892" s="44"/>
      <c r="AF892" s="44"/>
      <c r="AG892" s="44"/>
      <c r="AH892" s="44"/>
      <c r="AI892" s="44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40"/>
      <c r="AA893" s="39"/>
      <c r="AB893" s="44"/>
      <c r="AC893" s="44"/>
      <c r="AD893" s="44"/>
      <c r="AE893" s="44"/>
      <c r="AF893" s="44"/>
      <c r="AG893" s="44"/>
      <c r="AH893" s="44"/>
      <c r="AI893" s="44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40"/>
      <c r="AA894" s="39"/>
      <c r="AB894" s="44"/>
      <c r="AC894" s="44"/>
      <c r="AD894" s="44"/>
      <c r="AE894" s="44"/>
      <c r="AF894" s="44"/>
      <c r="AG894" s="44"/>
      <c r="AH894" s="44"/>
      <c r="AI894" s="44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40"/>
      <c r="AA895" s="39"/>
      <c r="AB895" s="44"/>
      <c r="AC895" s="44"/>
      <c r="AD895" s="44"/>
      <c r="AE895" s="44"/>
      <c r="AF895" s="44"/>
      <c r="AG895" s="44"/>
      <c r="AH895" s="44"/>
      <c r="AI895" s="44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40"/>
      <c r="AA896" s="39"/>
      <c r="AB896" s="44"/>
      <c r="AC896" s="44"/>
      <c r="AD896" s="44"/>
      <c r="AE896" s="44"/>
      <c r="AF896" s="44"/>
      <c r="AG896" s="44"/>
      <c r="AH896" s="44"/>
      <c r="AI896" s="44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40"/>
      <c r="AA897" s="39"/>
      <c r="AB897" s="44"/>
      <c r="AC897" s="44"/>
      <c r="AD897" s="44"/>
      <c r="AE897" s="44"/>
      <c r="AF897" s="44"/>
      <c r="AG897" s="44"/>
      <c r="AH897" s="44"/>
      <c r="AI897" s="44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40"/>
      <c r="AA898" s="39"/>
      <c r="AB898" s="44"/>
      <c r="AC898" s="44"/>
      <c r="AD898" s="44"/>
      <c r="AE898" s="44"/>
      <c r="AF898" s="44"/>
      <c r="AG898" s="44"/>
      <c r="AH898" s="44"/>
      <c r="AI898" s="44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40"/>
      <c r="AA899" s="39"/>
      <c r="AB899" s="44"/>
      <c r="AC899" s="44"/>
      <c r="AD899" s="44"/>
      <c r="AE899" s="44"/>
      <c r="AF899" s="44"/>
      <c r="AG899" s="44"/>
      <c r="AH899" s="44"/>
      <c r="AI899" s="44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40"/>
      <c r="AA900" s="39"/>
      <c r="AB900" s="44"/>
      <c r="AC900" s="44"/>
      <c r="AD900" s="44"/>
      <c r="AE900" s="44"/>
      <c r="AF900" s="44"/>
      <c r="AG900" s="44"/>
      <c r="AH900" s="44"/>
      <c r="AI900" s="44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40"/>
      <c r="AA901" s="39"/>
      <c r="AB901" s="44"/>
      <c r="AC901" s="44"/>
      <c r="AD901" s="44"/>
      <c r="AE901" s="44"/>
      <c r="AF901" s="44"/>
      <c r="AG901" s="44"/>
      <c r="AH901" s="44"/>
      <c r="AI901" s="44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39"/>
      <c r="AB902" s="44"/>
      <c r="AC902" s="44"/>
      <c r="AD902" s="44"/>
      <c r="AE902" s="44"/>
      <c r="AF902" s="44"/>
      <c r="AG902" s="44"/>
      <c r="AH902" s="44"/>
      <c r="AI902" s="44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40"/>
      <c r="AA903" s="39"/>
      <c r="AB903" s="44"/>
      <c r="AC903" s="44"/>
      <c r="AD903" s="44"/>
      <c r="AE903" s="44"/>
      <c r="AF903" s="44"/>
      <c r="AG903" s="44"/>
      <c r="AH903" s="44"/>
      <c r="AI903" s="44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40"/>
      <c r="AA904" s="39"/>
      <c r="AB904" s="44"/>
      <c r="AC904" s="44"/>
      <c r="AD904" s="44"/>
      <c r="AE904" s="44"/>
      <c r="AF904" s="44"/>
      <c r="AG904" s="44"/>
      <c r="AH904" s="44"/>
      <c r="AI904" s="44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40"/>
      <c r="AA905" s="39"/>
      <c r="AB905" s="44"/>
      <c r="AC905" s="44"/>
      <c r="AD905" s="44"/>
      <c r="AE905" s="44"/>
      <c r="AF905" s="44"/>
      <c r="AG905" s="44"/>
      <c r="AH905" s="44"/>
      <c r="AI905" s="44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40"/>
      <c r="AA906" s="39"/>
      <c r="AB906" s="44"/>
      <c r="AC906" s="44"/>
      <c r="AD906" s="44"/>
      <c r="AE906" s="44"/>
      <c r="AF906" s="44"/>
      <c r="AG906" s="44"/>
      <c r="AH906" s="44"/>
      <c r="AI906" s="44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40"/>
      <c r="AA907" s="39"/>
      <c r="AB907" s="44"/>
      <c r="AC907" s="44"/>
      <c r="AD907" s="44"/>
      <c r="AE907" s="44"/>
      <c r="AF907" s="44"/>
      <c r="AG907" s="44"/>
      <c r="AH907" s="44"/>
      <c r="AI907" s="44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40"/>
      <c r="AA908" s="39"/>
      <c r="AB908" s="44"/>
      <c r="AC908" s="44"/>
      <c r="AD908" s="44"/>
      <c r="AE908" s="44"/>
      <c r="AF908" s="44"/>
      <c r="AG908" s="44"/>
      <c r="AH908" s="44"/>
      <c r="AI908" s="44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40"/>
      <c r="AA909" s="39"/>
      <c r="AB909" s="44"/>
      <c r="AC909" s="44"/>
      <c r="AD909" s="44"/>
      <c r="AE909" s="44"/>
      <c r="AF909" s="44"/>
      <c r="AG909" s="44"/>
      <c r="AH909" s="44"/>
      <c r="AI909" s="44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40"/>
      <c r="AA910" s="39"/>
      <c r="AB910" s="44"/>
      <c r="AC910" s="44"/>
      <c r="AD910" s="44"/>
      <c r="AE910" s="44"/>
      <c r="AF910" s="44"/>
      <c r="AG910" s="44"/>
      <c r="AH910" s="44"/>
      <c r="AI910" s="44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40"/>
      <c r="AA911" s="39"/>
      <c r="AB911" s="44"/>
      <c r="AC911" s="44"/>
      <c r="AD911" s="44"/>
      <c r="AE911" s="44"/>
      <c r="AF911" s="44"/>
      <c r="AG911" s="44"/>
      <c r="AH911" s="44"/>
      <c r="AI911" s="44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40"/>
      <c r="AA912" s="39"/>
      <c r="AB912" s="44"/>
      <c r="AC912" s="44"/>
      <c r="AD912" s="44"/>
      <c r="AE912" s="44"/>
      <c r="AF912" s="44"/>
      <c r="AG912" s="44"/>
      <c r="AH912" s="44"/>
      <c r="AI912" s="44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40"/>
      <c r="AA913" s="39"/>
      <c r="AB913" s="44"/>
      <c r="AC913" s="44"/>
      <c r="AD913" s="44"/>
      <c r="AE913" s="44"/>
      <c r="AF913" s="44"/>
      <c r="AG913" s="44"/>
      <c r="AH913" s="44"/>
      <c r="AI913" s="44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40"/>
      <c r="AA914" s="39"/>
      <c r="AB914" s="44"/>
      <c r="AC914" s="44"/>
      <c r="AD914" s="44"/>
      <c r="AE914" s="44"/>
      <c r="AF914" s="44"/>
      <c r="AG914" s="44"/>
      <c r="AH914" s="44"/>
      <c r="AI914" s="44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40"/>
      <c r="AA915" s="39"/>
      <c r="AB915" s="44"/>
      <c r="AC915" s="44"/>
      <c r="AD915" s="44"/>
      <c r="AE915" s="44"/>
      <c r="AF915" s="44"/>
      <c r="AG915" s="44"/>
      <c r="AH915" s="44"/>
      <c r="AI915" s="44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40"/>
      <c r="AA916" s="39"/>
      <c r="AB916" s="44"/>
      <c r="AC916" s="44"/>
      <c r="AD916" s="44"/>
      <c r="AE916" s="44"/>
      <c r="AF916" s="44"/>
      <c r="AG916" s="44"/>
      <c r="AH916" s="44"/>
      <c r="AI916" s="44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40"/>
      <c r="AA917" s="39"/>
      <c r="AB917" s="44"/>
      <c r="AC917" s="44"/>
      <c r="AD917" s="44"/>
      <c r="AE917" s="44"/>
      <c r="AF917" s="44"/>
      <c r="AG917" s="44"/>
      <c r="AH917" s="44"/>
      <c r="AI917" s="44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40"/>
      <c r="AA918" s="39"/>
      <c r="AB918" s="44"/>
      <c r="AC918" s="44"/>
      <c r="AD918" s="44"/>
      <c r="AE918" s="44"/>
      <c r="AF918" s="44"/>
      <c r="AG918" s="44"/>
      <c r="AH918" s="44"/>
      <c r="AI918" s="44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40"/>
      <c r="AA919" s="39"/>
      <c r="AB919" s="44"/>
      <c r="AC919" s="44"/>
      <c r="AD919" s="44"/>
      <c r="AE919" s="44"/>
      <c r="AF919" s="44"/>
      <c r="AG919" s="44"/>
      <c r="AH919" s="44"/>
      <c r="AI919" s="44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40"/>
      <c r="AA920" s="39"/>
      <c r="AB920" s="44"/>
      <c r="AC920" s="44"/>
      <c r="AD920" s="44"/>
      <c r="AE920" s="44"/>
      <c r="AF920" s="44"/>
      <c r="AG920" s="44"/>
      <c r="AH920" s="44"/>
      <c r="AI920" s="44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40"/>
      <c r="AA921" s="39"/>
      <c r="AB921" s="44"/>
      <c r="AC921" s="44"/>
      <c r="AD921" s="44"/>
      <c r="AE921" s="44"/>
      <c r="AF921" s="44"/>
      <c r="AG921" s="44"/>
      <c r="AH921" s="44"/>
      <c r="AI921" s="44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40"/>
      <c r="AA922" s="39"/>
      <c r="AB922" s="44"/>
      <c r="AC922" s="44"/>
      <c r="AD922" s="44"/>
      <c r="AE922" s="44"/>
      <c r="AF922" s="44"/>
      <c r="AG922" s="44"/>
      <c r="AH922" s="44"/>
      <c r="AI922" s="44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40"/>
      <c r="AA923" s="39"/>
      <c r="AB923" s="44"/>
      <c r="AC923" s="44"/>
      <c r="AD923" s="44"/>
      <c r="AE923" s="44"/>
      <c r="AF923" s="44"/>
      <c r="AG923" s="44"/>
      <c r="AH923" s="44"/>
      <c r="AI923" s="44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40"/>
      <c r="AA924" s="39"/>
      <c r="AB924" s="44"/>
      <c r="AC924" s="44"/>
      <c r="AD924" s="44"/>
      <c r="AE924" s="44"/>
      <c r="AF924" s="44"/>
      <c r="AG924" s="44"/>
      <c r="AH924" s="44"/>
      <c r="AI924" s="44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40"/>
      <c r="AA925" s="39"/>
      <c r="AB925" s="44"/>
      <c r="AC925" s="44"/>
      <c r="AD925" s="44"/>
      <c r="AE925" s="44"/>
      <c r="AF925" s="44"/>
      <c r="AG925" s="44"/>
      <c r="AH925" s="44"/>
      <c r="AI925" s="44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40"/>
      <c r="AA926" s="39"/>
      <c r="AB926" s="44"/>
      <c r="AC926" s="44"/>
      <c r="AD926" s="44"/>
      <c r="AE926" s="44"/>
      <c r="AF926" s="44"/>
      <c r="AG926" s="44"/>
      <c r="AH926" s="44"/>
      <c r="AI926" s="44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40"/>
      <c r="AA927" s="39"/>
      <c r="AB927" s="44"/>
      <c r="AC927" s="44"/>
      <c r="AD927" s="44"/>
      <c r="AE927" s="44"/>
      <c r="AF927" s="44"/>
      <c r="AG927" s="44"/>
      <c r="AH927" s="44"/>
      <c r="AI927" s="44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40"/>
      <c r="AA928" s="39"/>
      <c r="AB928" s="44"/>
      <c r="AC928" s="44"/>
      <c r="AD928" s="44"/>
      <c r="AE928" s="44"/>
      <c r="AF928" s="44"/>
      <c r="AG928" s="44"/>
      <c r="AH928" s="44"/>
      <c r="AI928" s="44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40"/>
      <c r="AA929" s="39"/>
      <c r="AB929" s="44"/>
      <c r="AC929" s="44"/>
      <c r="AD929" s="44"/>
      <c r="AE929" s="44"/>
      <c r="AF929" s="44"/>
      <c r="AG929" s="44"/>
      <c r="AH929" s="44"/>
      <c r="AI929" s="44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40"/>
      <c r="AA930" s="39"/>
      <c r="AB930" s="44"/>
      <c r="AC930" s="44"/>
      <c r="AD930" s="44"/>
      <c r="AE930" s="44"/>
      <c r="AF930" s="44"/>
      <c r="AG930" s="44"/>
      <c r="AH930" s="44"/>
      <c r="AI930" s="44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40"/>
      <c r="AA931" s="39"/>
      <c r="AB931" s="44"/>
      <c r="AC931" s="44"/>
      <c r="AD931" s="44"/>
      <c r="AE931" s="44"/>
      <c r="AF931" s="44"/>
      <c r="AG931" s="44"/>
      <c r="AH931" s="44"/>
      <c r="AI931" s="44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40"/>
      <c r="AA932" s="39"/>
      <c r="AB932" s="44"/>
      <c r="AC932" s="44"/>
      <c r="AD932" s="44"/>
      <c r="AE932" s="44"/>
      <c r="AF932" s="44"/>
      <c r="AG932" s="44"/>
      <c r="AH932" s="44"/>
      <c r="AI932" s="44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40"/>
      <c r="AA933" s="39"/>
      <c r="AB933" s="44"/>
      <c r="AC933" s="44"/>
      <c r="AD933" s="44"/>
      <c r="AE933" s="44"/>
      <c r="AF933" s="44"/>
      <c r="AG933" s="44"/>
      <c r="AH933" s="44"/>
      <c r="AI933" s="44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40"/>
      <c r="AA934" s="39"/>
      <c r="AB934" s="44"/>
      <c r="AC934" s="44"/>
      <c r="AD934" s="44"/>
      <c r="AE934" s="44"/>
      <c r="AF934" s="44"/>
      <c r="AG934" s="44"/>
      <c r="AH934" s="44"/>
      <c r="AI934" s="44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40"/>
      <c r="AA935" s="39"/>
      <c r="AB935" s="44"/>
      <c r="AC935" s="44"/>
      <c r="AD935" s="44"/>
      <c r="AE935" s="44"/>
      <c r="AF935" s="44"/>
      <c r="AG935" s="44"/>
      <c r="AH935" s="44"/>
      <c r="AI935" s="44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40"/>
      <c r="AA936" s="39"/>
      <c r="AB936" s="44"/>
      <c r="AC936" s="44"/>
      <c r="AD936" s="44"/>
      <c r="AE936" s="44"/>
      <c r="AF936" s="44"/>
      <c r="AG936" s="44"/>
      <c r="AH936" s="44"/>
      <c r="AI936" s="44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40"/>
      <c r="AA937" s="39"/>
      <c r="AB937" s="44"/>
      <c r="AC937" s="44"/>
      <c r="AD937" s="44"/>
      <c r="AE937" s="44"/>
      <c r="AF937" s="44"/>
      <c r="AG937" s="44"/>
      <c r="AH937" s="44"/>
      <c r="AI937" s="44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40"/>
      <c r="AA938" s="39"/>
      <c r="AB938" s="44"/>
      <c r="AC938" s="44"/>
      <c r="AD938" s="44"/>
      <c r="AE938" s="44"/>
      <c r="AF938" s="44"/>
      <c r="AG938" s="44"/>
      <c r="AH938" s="44"/>
      <c r="AI938" s="44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40"/>
      <c r="AA939" s="39"/>
      <c r="AB939" s="44"/>
      <c r="AC939" s="44"/>
      <c r="AD939" s="44"/>
      <c r="AE939" s="44"/>
      <c r="AF939" s="44"/>
      <c r="AG939" s="44"/>
      <c r="AH939" s="44"/>
      <c r="AI939" s="44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39"/>
      <c r="AB940" s="44"/>
      <c r="AC940" s="44"/>
      <c r="AD940" s="44"/>
      <c r="AE940" s="44"/>
      <c r="AF940" s="44"/>
      <c r="AG940" s="44"/>
      <c r="AH940" s="44"/>
      <c r="AI940" s="44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40"/>
      <c r="AA941" s="39"/>
      <c r="AB941" s="44"/>
      <c r="AC941" s="44"/>
      <c r="AD941" s="44"/>
      <c r="AE941" s="44"/>
      <c r="AF941" s="44"/>
      <c r="AG941" s="44"/>
      <c r="AH941" s="44"/>
      <c r="AI941" s="44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40"/>
      <c r="AA942" s="39"/>
      <c r="AB942" s="44"/>
      <c r="AC942" s="44"/>
      <c r="AD942" s="44"/>
      <c r="AE942" s="44"/>
      <c r="AF942" s="44"/>
      <c r="AG942" s="44"/>
      <c r="AH942" s="44"/>
      <c r="AI942" s="44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40"/>
      <c r="AA943" s="39"/>
      <c r="AB943" s="44"/>
      <c r="AC943" s="44"/>
      <c r="AD943" s="44"/>
      <c r="AE943" s="44"/>
      <c r="AF943" s="44"/>
      <c r="AG943" s="44"/>
      <c r="AH943" s="44"/>
      <c r="AI943" s="44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40"/>
      <c r="AA944" s="39"/>
      <c r="AB944" s="44"/>
      <c r="AC944" s="44"/>
      <c r="AD944" s="44"/>
      <c r="AE944" s="44"/>
      <c r="AF944" s="44"/>
      <c r="AG944" s="44"/>
      <c r="AH944" s="44"/>
      <c r="AI944" s="44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40"/>
      <c r="AA945" s="39"/>
      <c r="AB945" s="44"/>
      <c r="AC945" s="44"/>
      <c r="AD945" s="44"/>
      <c r="AE945" s="44"/>
      <c r="AF945" s="44"/>
      <c r="AG945" s="44"/>
      <c r="AH945" s="44"/>
      <c r="AI945" s="44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40"/>
      <c r="AA946" s="39"/>
      <c r="AB946" s="44"/>
      <c r="AC946" s="44"/>
      <c r="AD946" s="44"/>
      <c r="AE946" s="44"/>
      <c r="AF946" s="44"/>
      <c r="AG946" s="44"/>
      <c r="AH946" s="44"/>
      <c r="AI946" s="44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40"/>
      <c r="AA947" s="39"/>
      <c r="AB947" s="44"/>
      <c r="AC947" s="44"/>
      <c r="AD947" s="44"/>
      <c r="AE947" s="44"/>
      <c r="AF947" s="44"/>
      <c r="AG947" s="44"/>
      <c r="AH947" s="44"/>
      <c r="AI947" s="44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40"/>
      <c r="AA948" s="39"/>
      <c r="AB948" s="44"/>
      <c r="AC948" s="44"/>
      <c r="AD948" s="44"/>
      <c r="AE948" s="44"/>
      <c r="AF948" s="44"/>
      <c r="AG948" s="44"/>
      <c r="AH948" s="44"/>
      <c r="AI948" s="44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40"/>
      <c r="AA949" s="39"/>
      <c r="AB949" s="44"/>
      <c r="AC949" s="44"/>
      <c r="AD949" s="44"/>
      <c r="AE949" s="44"/>
      <c r="AF949" s="44"/>
      <c r="AG949" s="44"/>
      <c r="AH949" s="44"/>
      <c r="AI949" s="44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40"/>
      <c r="AA950" s="39"/>
      <c r="AB950" s="44"/>
      <c r="AC950" s="44"/>
      <c r="AD950" s="44"/>
      <c r="AE950" s="44"/>
      <c r="AF950" s="44"/>
      <c r="AG950" s="44"/>
      <c r="AH950" s="44"/>
      <c r="AI950" s="44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40"/>
      <c r="AA951" s="39"/>
      <c r="AB951" s="44"/>
      <c r="AC951" s="44"/>
      <c r="AD951" s="44"/>
      <c r="AE951" s="44"/>
      <c r="AF951" s="44"/>
      <c r="AG951" s="44"/>
      <c r="AH951" s="44"/>
      <c r="AI951" s="44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40"/>
      <c r="AA952" s="39"/>
      <c r="AB952" s="44"/>
      <c r="AC952" s="44"/>
      <c r="AD952" s="44"/>
      <c r="AE952" s="44"/>
      <c r="AF952" s="44"/>
      <c r="AG952" s="44"/>
      <c r="AH952" s="44"/>
      <c r="AI952" s="44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40"/>
      <c r="AA953" s="39"/>
      <c r="AB953" s="44"/>
      <c r="AC953" s="44"/>
      <c r="AD953" s="44"/>
      <c r="AE953" s="44"/>
      <c r="AF953" s="44"/>
      <c r="AG953" s="44"/>
      <c r="AH953" s="44"/>
      <c r="AI953" s="44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40"/>
      <c r="AA954" s="39"/>
      <c r="AB954" s="44"/>
      <c r="AC954" s="44"/>
      <c r="AD954" s="44"/>
      <c r="AE954" s="44"/>
      <c r="AF954" s="44"/>
      <c r="AG954" s="44"/>
      <c r="AH954" s="44"/>
      <c r="AI954" s="44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40"/>
      <c r="AA955" s="39"/>
      <c r="AB955" s="44"/>
      <c r="AC955" s="44"/>
      <c r="AD955" s="44"/>
      <c r="AE955" s="44"/>
      <c r="AF955" s="44"/>
      <c r="AG955" s="44"/>
      <c r="AH955" s="44"/>
      <c r="AI955" s="44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40"/>
      <c r="AA956" s="39"/>
      <c r="AB956" s="44"/>
      <c r="AC956" s="44"/>
      <c r="AD956" s="44"/>
      <c r="AE956" s="44"/>
      <c r="AF956" s="44"/>
      <c r="AG956" s="44"/>
      <c r="AH956" s="44"/>
      <c r="AI956" s="44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40"/>
      <c r="AA957" s="39"/>
      <c r="AB957" s="44"/>
      <c r="AC957" s="44"/>
      <c r="AD957" s="44"/>
      <c r="AE957" s="44"/>
      <c r="AF957" s="44"/>
      <c r="AG957" s="44"/>
      <c r="AH957" s="44"/>
      <c r="AI957" s="44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40"/>
      <c r="AA958" s="39"/>
      <c r="AB958" s="44"/>
      <c r="AC958" s="44"/>
      <c r="AD958" s="44"/>
      <c r="AE958" s="44"/>
      <c r="AF958" s="44"/>
      <c r="AG958" s="44"/>
      <c r="AH958" s="44"/>
      <c r="AI958" s="44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40"/>
      <c r="AA959" s="39"/>
      <c r="AB959" s="44"/>
      <c r="AC959" s="44"/>
      <c r="AD959" s="44"/>
      <c r="AE959" s="44"/>
      <c r="AF959" s="44"/>
      <c r="AG959" s="44"/>
      <c r="AH959" s="44"/>
      <c r="AI959" s="44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40"/>
      <c r="AA960" s="39"/>
      <c r="AB960" s="44"/>
      <c r="AC960" s="44"/>
      <c r="AD960" s="44"/>
      <c r="AE960" s="44"/>
      <c r="AF960" s="44"/>
      <c r="AG960" s="44"/>
      <c r="AH960" s="44"/>
      <c r="AI960" s="44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40"/>
      <c r="AA961" s="39"/>
      <c r="AB961" s="44"/>
      <c r="AC961" s="44"/>
      <c r="AD961" s="44"/>
      <c r="AE961" s="44"/>
      <c r="AF961" s="44"/>
      <c r="AG961" s="44"/>
      <c r="AH961" s="44"/>
      <c r="AI961" s="44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40"/>
      <c r="AA962" s="39"/>
      <c r="AB962" s="44"/>
      <c r="AC962" s="44"/>
      <c r="AD962" s="44"/>
      <c r="AE962" s="44"/>
      <c r="AF962" s="44"/>
      <c r="AG962" s="44"/>
      <c r="AH962" s="44"/>
      <c r="AI962" s="44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40"/>
      <c r="AA963" s="39"/>
      <c r="AB963" s="44"/>
      <c r="AC963" s="44"/>
      <c r="AD963" s="44"/>
      <c r="AE963" s="44"/>
      <c r="AF963" s="44"/>
      <c r="AG963" s="44"/>
      <c r="AH963" s="44"/>
      <c r="AI963" s="44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40"/>
      <c r="AA964" s="39"/>
      <c r="AB964" s="44"/>
      <c r="AC964" s="44"/>
      <c r="AD964" s="44"/>
      <c r="AE964" s="44"/>
      <c r="AF964" s="44"/>
      <c r="AG964" s="44"/>
      <c r="AH964" s="44"/>
      <c r="AI964" s="44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40"/>
      <c r="AA965" s="39"/>
      <c r="AB965" s="44"/>
      <c r="AC965" s="44"/>
      <c r="AD965" s="44"/>
      <c r="AE965" s="44"/>
      <c r="AF965" s="44"/>
      <c r="AG965" s="44"/>
      <c r="AH965" s="44"/>
      <c r="AI965" s="44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40"/>
      <c r="AA966" s="39"/>
      <c r="AB966" s="44"/>
      <c r="AC966" s="44"/>
      <c r="AD966" s="44"/>
      <c r="AE966" s="44"/>
      <c r="AF966" s="44"/>
      <c r="AG966" s="44"/>
      <c r="AH966" s="44"/>
      <c r="AI966" s="44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40"/>
      <c r="AA967" s="39"/>
      <c r="AB967" s="44"/>
      <c r="AC967" s="44"/>
      <c r="AD967" s="44"/>
      <c r="AE967" s="44"/>
      <c r="AF967" s="44"/>
      <c r="AG967" s="44"/>
      <c r="AH967" s="44"/>
      <c r="AI967" s="44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40"/>
      <c r="AA968" s="39"/>
      <c r="AB968" s="44"/>
      <c r="AC968" s="44"/>
      <c r="AD968" s="44"/>
      <c r="AE968" s="44"/>
      <c r="AF968" s="44"/>
      <c r="AG968" s="44"/>
      <c r="AH968" s="44"/>
      <c r="AI968" s="44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40"/>
      <c r="AA969" s="39"/>
      <c r="AB969" s="44"/>
      <c r="AC969" s="44"/>
      <c r="AD969" s="44"/>
      <c r="AE969" s="44"/>
      <c r="AF969" s="44"/>
      <c r="AG969" s="44"/>
      <c r="AH969" s="44"/>
      <c r="AI969" s="44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40"/>
      <c r="AA970" s="39"/>
      <c r="AB970" s="44"/>
      <c r="AC970" s="44"/>
      <c r="AD970" s="44"/>
      <c r="AE970" s="44"/>
      <c r="AF970" s="44"/>
      <c r="AG970" s="44"/>
      <c r="AH970" s="44"/>
      <c r="AI970" s="44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40"/>
      <c r="AA971" s="39"/>
      <c r="AB971" s="44"/>
      <c r="AC971" s="44"/>
      <c r="AD971" s="44"/>
      <c r="AE971" s="44"/>
      <c r="AF971" s="44"/>
      <c r="AG971" s="44"/>
      <c r="AH971" s="44"/>
      <c r="AI971" s="44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40"/>
      <c r="AA972" s="39"/>
      <c r="AB972" s="44"/>
      <c r="AC972" s="44"/>
      <c r="AD972" s="44"/>
      <c r="AE972" s="44"/>
      <c r="AF972" s="44"/>
      <c r="AG972" s="44"/>
      <c r="AH972" s="44"/>
      <c r="AI972" s="44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40"/>
      <c r="AA973" s="39"/>
      <c r="AB973" s="44"/>
      <c r="AC973" s="44"/>
      <c r="AD973" s="44"/>
      <c r="AE973" s="44"/>
      <c r="AF973" s="44"/>
      <c r="AG973" s="44"/>
      <c r="AH973" s="44"/>
      <c r="AI973" s="44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40"/>
      <c r="AA974" s="39"/>
      <c r="AB974" s="44"/>
      <c r="AC974" s="44"/>
      <c r="AD974" s="44"/>
      <c r="AE974" s="44"/>
      <c r="AF974" s="44"/>
      <c r="AG974" s="44"/>
      <c r="AH974" s="44"/>
      <c r="AI974" s="44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40"/>
      <c r="AA975" s="39"/>
      <c r="AB975" s="44"/>
      <c r="AC975" s="44"/>
      <c r="AD975" s="44"/>
      <c r="AE975" s="44"/>
      <c r="AF975" s="44"/>
      <c r="AG975" s="44"/>
      <c r="AH975" s="44"/>
      <c r="AI975" s="44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40"/>
      <c r="AA976" s="39"/>
      <c r="AB976" s="44"/>
      <c r="AC976" s="44"/>
      <c r="AD976" s="44"/>
      <c r="AE976" s="44"/>
      <c r="AF976" s="44"/>
      <c r="AG976" s="44"/>
      <c r="AH976" s="44"/>
      <c r="AI976" s="44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40"/>
      <c r="AA977" s="39"/>
      <c r="AB977" s="44"/>
      <c r="AC977" s="44"/>
      <c r="AD977" s="44"/>
      <c r="AE977" s="44"/>
      <c r="AF977" s="44"/>
      <c r="AG977" s="44"/>
      <c r="AH977" s="44"/>
      <c r="AI977" s="44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39"/>
      <c r="AB978" s="44"/>
      <c r="AC978" s="44"/>
      <c r="AD978" s="44"/>
      <c r="AE978" s="44"/>
      <c r="AF978" s="44"/>
      <c r="AG978" s="44"/>
      <c r="AH978" s="44"/>
      <c r="AI978" s="44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40"/>
      <c r="AA979" s="39"/>
      <c r="AB979" s="44"/>
      <c r="AC979" s="44"/>
      <c r="AD979" s="44"/>
      <c r="AE979" s="44"/>
      <c r="AF979" s="44"/>
      <c r="AG979" s="44"/>
      <c r="AH979" s="44"/>
      <c r="AI979" s="44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40"/>
      <c r="AA980" s="39"/>
      <c r="AB980" s="44"/>
      <c r="AC980" s="44"/>
      <c r="AD980" s="44"/>
      <c r="AE980" s="44"/>
      <c r="AF980" s="44"/>
      <c r="AG980" s="44"/>
      <c r="AH980" s="44"/>
      <c r="AI980" s="44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40"/>
      <c r="AA981" s="39"/>
      <c r="AB981" s="44"/>
      <c r="AC981" s="44"/>
      <c r="AD981" s="44"/>
      <c r="AE981" s="44"/>
      <c r="AF981" s="44"/>
      <c r="AG981" s="44"/>
      <c r="AH981" s="44"/>
      <c r="AI981" s="44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40"/>
      <c r="AA982" s="39"/>
      <c r="AB982" s="44"/>
      <c r="AC982" s="44"/>
      <c r="AD982" s="44"/>
      <c r="AE982" s="44"/>
      <c r="AF982" s="44"/>
      <c r="AG982" s="44"/>
      <c r="AH982" s="44"/>
      <c r="AI982" s="44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40"/>
      <c r="AA983" s="39"/>
      <c r="AB983" s="44"/>
      <c r="AC983" s="44"/>
      <c r="AD983" s="44"/>
      <c r="AE983" s="44"/>
      <c r="AF983" s="44"/>
      <c r="AG983" s="44"/>
      <c r="AH983" s="44"/>
      <c r="AI983" s="44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40"/>
      <c r="AA984" s="39"/>
      <c r="AB984" s="44"/>
      <c r="AC984" s="44"/>
      <c r="AD984" s="44"/>
      <c r="AE984" s="44"/>
      <c r="AF984" s="44"/>
      <c r="AG984" s="44"/>
      <c r="AH984" s="44"/>
      <c r="AI984" s="44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40"/>
      <c r="AA985" s="39"/>
      <c r="AB985" s="44"/>
      <c r="AC985" s="44"/>
      <c r="AD985" s="44"/>
      <c r="AE985" s="44"/>
      <c r="AF985" s="44"/>
      <c r="AG985" s="44"/>
      <c r="AH985" s="44"/>
      <c r="AI985" s="44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40"/>
      <c r="AA986" s="39"/>
      <c r="AB986" s="44"/>
      <c r="AC986" s="44"/>
      <c r="AD986" s="44"/>
      <c r="AE986" s="44"/>
      <c r="AF986" s="44"/>
      <c r="AG986" s="44"/>
      <c r="AH986" s="44"/>
      <c r="AI986" s="44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40"/>
      <c r="AA987" s="39"/>
      <c r="AB987" s="44"/>
      <c r="AC987" s="44"/>
      <c r="AD987" s="44"/>
      <c r="AE987" s="44"/>
      <c r="AF987" s="44"/>
      <c r="AG987" s="44"/>
      <c r="AH987" s="44"/>
      <c r="AI987" s="44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40"/>
      <c r="AA988" s="39"/>
      <c r="AB988" s="44"/>
      <c r="AC988" s="44"/>
      <c r="AD988" s="44"/>
      <c r="AE988" s="44"/>
      <c r="AF988" s="44"/>
      <c r="AG988" s="44"/>
      <c r="AH988" s="44"/>
      <c r="AI988" s="44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40"/>
      <c r="AA989" s="39"/>
      <c r="AB989" s="44"/>
      <c r="AC989" s="44"/>
      <c r="AD989" s="44"/>
      <c r="AE989" s="44"/>
      <c r="AF989" s="44"/>
      <c r="AG989" s="44"/>
      <c r="AH989" s="44"/>
      <c r="AI989" s="44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40"/>
      <c r="AA990" s="39"/>
      <c r="AB990" s="44"/>
      <c r="AC990" s="44"/>
      <c r="AD990" s="44"/>
      <c r="AE990" s="44"/>
      <c r="AF990" s="44"/>
      <c r="AG990" s="44"/>
      <c r="AH990" s="44"/>
      <c r="AI990" s="44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40"/>
      <c r="AA991" s="39"/>
      <c r="AB991" s="44"/>
      <c r="AC991" s="44"/>
      <c r="AD991" s="44"/>
      <c r="AE991" s="44"/>
      <c r="AF991" s="44"/>
      <c r="AG991" s="44"/>
      <c r="AH991" s="44"/>
      <c r="AI991" s="44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40"/>
      <c r="AA992" s="39"/>
      <c r="AB992" s="44"/>
      <c r="AC992" s="44"/>
      <c r="AD992" s="44"/>
      <c r="AE992" s="44"/>
      <c r="AF992" s="44"/>
      <c r="AG992" s="44"/>
      <c r="AH992" s="44"/>
      <c r="AI992" s="44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40"/>
      <c r="AA993" s="39"/>
      <c r="AB993" s="44"/>
      <c r="AC993" s="44"/>
      <c r="AD993" s="44"/>
      <c r="AE993" s="44"/>
      <c r="AF993" s="44"/>
      <c r="AG993" s="44"/>
      <c r="AH993" s="44"/>
      <c r="AI993" s="44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40"/>
      <c r="AA994" s="39"/>
      <c r="AB994" s="44"/>
      <c r="AC994" s="44"/>
      <c r="AD994" s="44"/>
      <c r="AE994" s="44"/>
      <c r="AF994" s="44"/>
      <c r="AG994" s="44"/>
      <c r="AH994" s="44"/>
      <c r="AI994" s="44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40"/>
      <c r="AA995" s="39"/>
      <c r="AB995" s="44"/>
      <c r="AC995" s="44"/>
      <c r="AD995" s="44"/>
      <c r="AE995" s="44"/>
      <c r="AF995" s="44"/>
      <c r="AG995" s="44"/>
      <c r="AH995" s="44"/>
      <c r="AI995" s="44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40"/>
      <c r="AA996" s="39"/>
      <c r="AB996" s="44"/>
      <c r="AC996" s="44"/>
      <c r="AD996" s="44"/>
      <c r="AE996" s="44"/>
      <c r="AF996" s="44"/>
      <c r="AG996" s="44"/>
      <c r="AH996" s="44"/>
      <c r="AI996" s="44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40"/>
      <c r="AA997" s="39"/>
      <c r="AB997" s="44"/>
      <c r="AC997" s="44"/>
      <c r="AD997" s="44"/>
      <c r="AE997" s="44"/>
      <c r="AF997" s="44"/>
      <c r="AG997" s="44"/>
      <c r="AH997" s="44"/>
      <c r="AI997" s="44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40"/>
      <c r="AA998" s="39"/>
      <c r="AB998" s="44"/>
      <c r="AC998" s="44"/>
      <c r="AD998" s="44"/>
      <c r="AE998" s="44"/>
      <c r="AF998" s="44"/>
      <c r="AG998" s="44"/>
      <c r="AH998" s="44"/>
      <c r="AI998" s="44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40"/>
      <c r="AA999" s="39"/>
      <c r="AB999" s="44"/>
      <c r="AC999" s="44"/>
      <c r="AD999" s="44"/>
      <c r="AE999" s="44"/>
      <c r="AF999" s="44"/>
      <c r="AG999" s="44"/>
      <c r="AH999" s="44"/>
      <c r="AI999" s="44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40"/>
      <c r="AA1000" s="39"/>
      <c r="AB1000" s="44"/>
      <c r="AC1000" s="44"/>
      <c r="AD1000" s="44"/>
      <c r="AE1000" s="44"/>
      <c r="AF1000" s="44"/>
      <c r="AG1000" s="44"/>
      <c r="AH1000" s="44"/>
      <c r="AI1000" s="44"/>
    </row>
    <row r="1001" ht="15.75" customHeight="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40"/>
      <c r="AA1001" s="39"/>
      <c r="AB1001" s="44"/>
      <c r="AC1001" s="44"/>
      <c r="AD1001" s="44"/>
      <c r="AE1001" s="44"/>
      <c r="AF1001" s="44"/>
      <c r="AG1001" s="44"/>
      <c r="AH1001" s="44"/>
      <c r="AI1001" s="44"/>
    </row>
    <row r="1002" ht="15.75" customHeight="1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40"/>
      <c r="AA1002" s="39"/>
      <c r="AB1002" s="44"/>
      <c r="AC1002" s="44"/>
      <c r="AD1002" s="44"/>
      <c r="AE1002" s="44"/>
      <c r="AF1002" s="44"/>
      <c r="AG1002" s="44"/>
      <c r="AH1002" s="44"/>
      <c r="AI1002" s="44"/>
    </row>
    <row r="1003" ht="15.75" customHeight="1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40"/>
      <c r="AA1003" s="39"/>
      <c r="AB1003" s="44"/>
      <c r="AC1003" s="44"/>
      <c r="AD1003" s="44"/>
      <c r="AE1003" s="44"/>
      <c r="AF1003" s="44"/>
      <c r="AG1003" s="44"/>
      <c r="AH1003" s="44"/>
      <c r="AI1003" s="44"/>
    </row>
    <row r="1004" ht="15.75" customHeight="1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40"/>
      <c r="AA1004" s="39"/>
      <c r="AB1004" s="44"/>
      <c r="AC1004" s="44"/>
      <c r="AD1004" s="44"/>
      <c r="AE1004" s="44"/>
      <c r="AF1004" s="44"/>
      <c r="AG1004" s="44"/>
      <c r="AH1004" s="44"/>
      <c r="AI1004" s="44"/>
    </row>
    <row r="1005" ht="15.75" customHeight="1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40"/>
      <c r="AA1005" s="39"/>
      <c r="AB1005" s="44"/>
      <c r="AC1005" s="44"/>
      <c r="AD1005" s="44"/>
      <c r="AE1005" s="44"/>
      <c r="AF1005" s="44"/>
      <c r="AG1005" s="44"/>
      <c r="AH1005" s="44"/>
      <c r="AI1005" s="44"/>
    </row>
    <row r="1006" ht="15.75" customHeight="1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40"/>
      <c r="AA1006" s="39"/>
      <c r="AB1006" s="44"/>
      <c r="AC1006" s="44"/>
      <c r="AD1006" s="44"/>
      <c r="AE1006" s="44"/>
      <c r="AF1006" s="44"/>
      <c r="AG1006" s="44"/>
      <c r="AH1006" s="44"/>
      <c r="AI1006" s="44"/>
    </row>
    <row r="1007" ht="15.75" customHeight="1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40"/>
      <c r="AA1007" s="39"/>
      <c r="AB1007" s="44"/>
      <c r="AC1007" s="44"/>
      <c r="AD1007" s="44"/>
      <c r="AE1007" s="44"/>
      <c r="AF1007" s="44"/>
      <c r="AG1007" s="44"/>
      <c r="AH1007" s="44"/>
      <c r="AI1007" s="44"/>
    </row>
  </sheetData>
  <autoFilter ref="$A$2:$AI$22"/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22.44"/>
    <col customWidth="1" min="2" max="5" width="10.78"/>
    <col customWidth="1" min="6" max="6" width="9.11"/>
    <col customWidth="1" min="7" max="7" width="16.67"/>
    <col customWidth="1" min="8" max="19" width="10.78"/>
    <col customWidth="1" min="20" max="20" width="11.33"/>
    <col customWidth="1" min="21" max="21" width="11.44"/>
    <col customWidth="1" min="22" max="22" width="11.0"/>
    <col customWidth="1" min="23" max="23" width="17.11"/>
    <col customWidth="1" min="24" max="25" width="11.0"/>
    <col customWidth="1" min="26" max="26" width="11.67"/>
    <col customWidth="1" min="27" max="35" width="10.78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4"/>
      <c r="AC1" s="5"/>
      <c r="AD1" s="5"/>
      <c r="AE1" s="5"/>
      <c r="AF1" s="5"/>
      <c r="AG1" s="5"/>
      <c r="AH1" s="5"/>
      <c r="AI1" s="5"/>
    </row>
    <row r="2" ht="15.75" customHeigh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42" t="s">
        <v>25</v>
      </c>
      <c r="AA2" s="6" t="s">
        <v>26</v>
      </c>
      <c r="AB2" s="8" t="s">
        <v>27</v>
      </c>
      <c r="AC2" s="8" t="s">
        <v>28</v>
      </c>
      <c r="AD2" s="8" t="s">
        <v>29</v>
      </c>
      <c r="AE2" s="71" t="s">
        <v>30</v>
      </c>
      <c r="AF2" s="8" t="s">
        <v>31</v>
      </c>
      <c r="AG2" s="8" t="s">
        <v>32</v>
      </c>
      <c r="AH2" s="8" t="s">
        <v>33</v>
      </c>
      <c r="AI2" s="8" t="s">
        <v>34</v>
      </c>
    </row>
    <row r="3" ht="15.75" customHeight="1">
      <c r="A3" s="72" t="s">
        <v>35</v>
      </c>
      <c r="B3" s="46">
        <f>COUNTIF('Game Stats'!A:A, A3)</f>
        <v>4</v>
      </c>
      <c r="C3" s="73">
        <f t="shared" ref="C3:C21" si="1">D3+M3+O3+P3+Q3</f>
        <v>5</v>
      </c>
      <c r="D3" s="46">
        <f>sumif('Game Stats'!$A:$A, $A3, 'Game Stats'!B:B)</f>
        <v>3</v>
      </c>
      <c r="E3" s="46">
        <f>sumif('Game Stats'!$A:$A, $A3, 'Game Stats'!C:C)</f>
        <v>3</v>
      </c>
      <c r="F3" s="46">
        <f>sumif('Game Stats'!$A:$A, $A3, 'Game Stats'!D:D)</f>
        <v>0</v>
      </c>
      <c r="G3" s="46">
        <f>sumif('Game Stats'!$A:$A, $A3, 'Game Stats'!E:E)</f>
        <v>0</v>
      </c>
      <c r="H3" s="73">
        <f t="shared" ref="H3:H22" si="2">F3-(I3+J3+K3)</f>
        <v>0</v>
      </c>
      <c r="I3" s="73">
        <f>sumif('Game Stats'!$A:$A, $A3, 'Game Stats'!G:G)</f>
        <v>0</v>
      </c>
      <c r="J3" s="73">
        <f>sumif('Game Stats'!$A:$A, $A3, 'Game Stats'!H:H)</f>
        <v>0</v>
      </c>
      <c r="K3" s="73">
        <f>sumif('Game Stats'!$A:$A, $A3, 'Game Stats'!I:I)</f>
        <v>0</v>
      </c>
      <c r="L3" s="46">
        <f>sumif('Game Stats'!$A:$A, $A3, 'Game Stats'!Q:Q)</f>
        <v>0</v>
      </c>
      <c r="M3" s="46">
        <f>sumif('Game Stats'!$A:$A, $A3, 'Game Stats'!J:J)</f>
        <v>1</v>
      </c>
      <c r="N3" s="46">
        <f>sumif('Game Stats'!$A:$A, $A3, 'Game Stats'!K:K)</f>
        <v>2</v>
      </c>
      <c r="O3" s="46">
        <f>sumif('Game Stats'!$A:$A, $A3, 'Game Stats'!N:N)</f>
        <v>1</v>
      </c>
      <c r="P3" s="73">
        <f>sumif('Game Stats'!$A:$A, $A3, 'Game Stats'!L:L)</f>
        <v>0</v>
      </c>
      <c r="Q3" s="73">
        <f>sumif('Game Stats'!$A:$A, $A3, 'Game Stats'!M:M)</f>
        <v>0</v>
      </c>
      <c r="R3" s="64">
        <f t="shared" ref="R3:R22" si="3">(H3+(2*I3)+(3*J3)+(4*K3))</f>
        <v>0</v>
      </c>
      <c r="S3" s="74">
        <f t="shared" ref="S3:S21" si="4">iferror(if(C3=0,"-", F3/D3), 0)</f>
        <v>0</v>
      </c>
      <c r="T3" s="74">
        <f t="shared" ref="T3:T21" si="5">if(C3=0, "-", (F3+M3+O3)/(D3+M3+O3+P3))</f>
        <v>0.4</v>
      </c>
      <c r="U3" s="75">
        <f t="shared" ref="U3:U21" si="6">iferror(if(C3=0, "-", R3/D3), 0)</f>
        <v>0</v>
      </c>
      <c r="V3" s="75">
        <f t="shared" ref="V3:V21" si="7">if(T3="-", "-", T3+U3)</f>
        <v>0.4</v>
      </c>
      <c r="W3" s="75">
        <f t="shared" ref="W3:W21" si="8">if(D3=0,"-", ((F3+M3)*R3)/(D3+M3))</f>
        <v>0</v>
      </c>
      <c r="X3" s="47">
        <f t="shared" ref="X3:X21" si="9">if(C3=0, "-", M3/C3)</f>
        <v>0.2</v>
      </c>
      <c r="Y3" s="76">
        <f t="shared" ref="Y3:Y21" si="10">if(C3=0, "-", N3/C3)</f>
        <v>0.4</v>
      </c>
      <c r="Z3" s="77">
        <f t="shared" ref="Z3:Z22" si="11">ifs(Y3="-", "-", Y3=0, "0", Y3&lt;&gt;0, M3/N3)</f>
        <v>0.5</v>
      </c>
      <c r="AA3" s="64" t="str">
        <f t="shared" ref="AA3:AA22" si="12">IF(K3=0, "-", D3/K3)</f>
        <v>-</v>
      </c>
      <c r="AB3" s="75">
        <f t="shared" ref="AB3:AB21" si="13">if(C3=0, "-", ((0.69*M3)+(0.72*O3)+(0.88*H3)+(1.24*I3)+(1.57*J3)+(2*K3))/(D3+M3+O3+P3))</f>
        <v>0.282</v>
      </c>
      <c r="AC3" s="78">
        <f>if(D3=0, "-", sumif('Game Stats'!AD:AD, A3, 'Game Stats'!AC:AC))</f>
        <v>6</v>
      </c>
      <c r="AD3" s="79">
        <v>0.0</v>
      </c>
      <c r="AE3" s="80" t="str">
        <f t="shared" ref="AE3:AE22" si="14">if(L3=0, "-", L3/(L3+AD3))</f>
        <v>-</v>
      </c>
      <c r="AF3" s="79">
        <v>0.0</v>
      </c>
      <c r="AG3" s="81">
        <f t="shared" ref="AG3:AG22" si="15">iferror((F3-K3)/(D3-K3-N3+P3), "-")</f>
        <v>0</v>
      </c>
      <c r="AH3" s="81">
        <f t="shared" ref="AH3:AH22" si="16">iferror((R3-F3)/D3, "-")</f>
        <v>0</v>
      </c>
      <c r="AI3" s="81" t="str">
        <f t="shared" ref="AI3:AI22" si="17">iferror(2*(K3*L3)/(K3+L3), "-")</f>
        <v>-</v>
      </c>
    </row>
    <row r="4" ht="15.75" customHeight="1">
      <c r="A4" s="72" t="s">
        <v>36</v>
      </c>
      <c r="B4" s="46">
        <f>COUNTIF('Game Stats'!A:A, A4)</f>
        <v>9</v>
      </c>
      <c r="C4" s="73">
        <f t="shared" si="1"/>
        <v>16</v>
      </c>
      <c r="D4" s="46">
        <f>sumif('Game Stats'!$A:$A, $A4, 'Game Stats'!B:B)</f>
        <v>12</v>
      </c>
      <c r="E4" s="46">
        <f>sumif('Game Stats'!$A:$A, $A4, 'Game Stats'!C:C)</f>
        <v>4</v>
      </c>
      <c r="F4" s="46">
        <f>sumif('Game Stats'!$A:$A, $A4, 'Game Stats'!D:D)</f>
        <v>2</v>
      </c>
      <c r="G4" s="46">
        <f>sumif('Game Stats'!$A:$A, $A4, 'Game Stats'!E:E)</f>
        <v>1</v>
      </c>
      <c r="H4" s="73">
        <f t="shared" si="2"/>
        <v>2</v>
      </c>
      <c r="I4" s="73">
        <f>sumif('Game Stats'!$A:$A, $A4, 'Game Stats'!G:G)</f>
        <v>0</v>
      </c>
      <c r="J4" s="73">
        <f>sumif('Game Stats'!$A:$A, $A4, 'Game Stats'!H:H)</f>
        <v>0</v>
      </c>
      <c r="K4" s="73">
        <f>sumif('Game Stats'!$A:$A, $A4, 'Game Stats'!I:I)</f>
        <v>0</v>
      </c>
      <c r="L4" s="46">
        <f>sumif('Game Stats'!$A:$A, $A4, 'Game Stats'!Q:Q)</f>
        <v>4</v>
      </c>
      <c r="M4" s="46">
        <f>sumif('Game Stats'!$A:$A, $A4, 'Game Stats'!J:J)</f>
        <v>4</v>
      </c>
      <c r="N4" s="46">
        <f>sumif('Game Stats'!$A:$A, $A4, 'Game Stats'!K:K)</f>
        <v>3</v>
      </c>
      <c r="O4" s="46">
        <f>sumif('Game Stats'!$A:$A, $A4, 'Game Stats'!N:N)</f>
        <v>0</v>
      </c>
      <c r="P4" s="73">
        <f>sumif('Game Stats'!$A:$A, $A4, 'Game Stats'!L:L)</f>
        <v>0</v>
      </c>
      <c r="Q4" s="73">
        <f>sumif('Game Stats'!$A:$A, $A4, 'Game Stats'!M:M)</f>
        <v>0</v>
      </c>
      <c r="R4" s="67">
        <f t="shared" si="3"/>
        <v>2</v>
      </c>
      <c r="S4" s="74">
        <f t="shared" si="4"/>
        <v>0.1666666667</v>
      </c>
      <c r="T4" s="74">
        <f t="shared" si="5"/>
        <v>0.375</v>
      </c>
      <c r="U4" s="75">
        <f t="shared" si="6"/>
        <v>0.1666666667</v>
      </c>
      <c r="V4" s="75">
        <f t="shared" si="7"/>
        <v>0.5416666667</v>
      </c>
      <c r="W4" s="75">
        <f t="shared" si="8"/>
        <v>0.75</v>
      </c>
      <c r="X4" s="47">
        <f t="shared" si="9"/>
        <v>0.25</v>
      </c>
      <c r="Y4" s="76">
        <f t="shared" si="10"/>
        <v>0.1875</v>
      </c>
      <c r="Z4" s="77">
        <f t="shared" si="11"/>
        <v>1.333333333</v>
      </c>
      <c r="AA4" s="64" t="str">
        <f t="shared" si="12"/>
        <v>-</v>
      </c>
      <c r="AB4" s="75">
        <f t="shared" si="13"/>
        <v>0.2825</v>
      </c>
      <c r="AC4" s="78">
        <f>if(D4=0, "-", sumif('Game Stats'!AD:AD, A4, 'Game Stats'!AC:AC))</f>
        <v>2</v>
      </c>
      <c r="AD4" s="79">
        <v>0.0</v>
      </c>
      <c r="AE4" s="80">
        <f t="shared" si="14"/>
        <v>1</v>
      </c>
      <c r="AF4" s="79">
        <v>0.0</v>
      </c>
      <c r="AG4" s="81">
        <f t="shared" si="15"/>
        <v>0.2222222222</v>
      </c>
      <c r="AH4" s="81">
        <f t="shared" si="16"/>
        <v>0</v>
      </c>
      <c r="AI4" s="81">
        <f t="shared" si="17"/>
        <v>0</v>
      </c>
    </row>
    <row r="5" ht="15.75" customHeight="1">
      <c r="A5" s="72" t="s">
        <v>37</v>
      </c>
      <c r="B5" s="46">
        <f>COUNTIF('Game Stats'!A:A, A5)</f>
        <v>5</v>
      </c>
      <c r="C5" s="73">
        <f t="shared" si="1"/>
        <v>5</v>
      </c>
      <c r="D5" s="46">
        <f>sumif('Game Stats'!$A:$A, $A5, 'Game Stats'!B:B)</f>
        <v>1</v>
      </c>
      <c r="E5" s="46">
        <f>sumif('Game Stats'!$A:$A, $A5, 'Game Stats'!C:C)</f>
        <v>1</v>
      </c>
      <c r="F5" s="46">
        <f>sumif('Game Stats'!$A:$A, $A5, 'Game Stats'!D:D)</f>
        <v>0</v>
      </c>
      <c r="G5" s="46">
        <f>sumif('Game Stats'!$A:$A, $A5, 'Game Stats'!E:E)</f>
        <v>1</v>
      </c>
      <c r="H5" s="73">
        <f t="shared" si="2"/>
        <v>0</v>
      </c>
      <c r="I5" s="73">
        <f>sumif('Game Stats'!$A:$A, $A5, 'Game Stats'!G:G)</f>
        <v>0</v>
      </c>
      <c r="J5" s="73">
        <f>sumif('Game Stats'!$A:$A, $A5, 'Game Stats'!H:H)</f>
        <v>0</v>
      </c>
      <c r="K5" s="73">
        <f>sumif('Game Stats'!$A:$A, $A5, 'Game Stats'!I:I)</f>
        <v>0</v>
      </c>
      <c r="L5" s="46">
        <f>sumif('Game Stats'!$A:$A, $A5, 'Game Stats'!Q:Q)</f>
        <v>0</v>
      </c>
      <c r="M5" s="46">
        <f>sumif('Game Stats'!$A:$A, $A5, 'Game Stats'!J:J)</f>
        <v>3</v>
      </c>
      <c r="N5" s="46">
        <f>sumif('Game Stats'!$A:$A, $A5, 'Game Stats'!K:K)</f>
        <v>1</v>
      </c>
      <c r="O5" s="46">
        <f>sumif('Game Stats'!$A:$A, $A5, 'Game Stats'!N:N)</f>
        <v>1</v>
      </c>
      <c r="P5" s="73">
        <f>sumif('Game Stats'!$A:$A, $A5, 'Game Stats'!L:L)</f>
        <v>0</v>
      </c>
      <c r="Q5" s="73">
        <f>sumif('Game Stats'!$A:$A, $A5, 'Game Stats'!M:M)</f>
        <v>0</v>
      </c>
      <c r="R5" s="82">
        <f t="shared" si="3"/>
        <v>0</v>
      </c>
      <c r="S5" s="74">
        <f t="shared" si="4"/>
        <v>0</v>
      </c>
      <c r="T5" s="74">
        <f t="shared" si="5"/>
        <v>0.8</v>
      </c>
      <c r="U5" s="75">
        <f t="shared" si="6"/>
        <v>0</v>
      </c>
      <c r="V5" s="75">
        <f t="shared" si="7"/>
        <v>0.8</v>
      </c>
      <c r="W5" s="75">
        <f t="shared" si="8"/>
        <v>0</v>
      </c>
      <c r="X5" s="47">
        <f t="shared" si="9"/>
        <v>0.6</v>
      </c>
      <c r="Y5" s="76">
        <f t="shared" si="10"/>
        <v>0.2</v>
      </c>
      <c r="Z5" s="77">
        <f t="shared" si="11"/>
        <v>3</v>
      </c>
      <c r="AA5" s="64" t="str">
        <f t="shared" si="12"/>
        <v>-</v>
      </c>
      <c r="AB5" s="75">
        <f t="shared" si="13"/>
        <v>0.558</v>
      </c>
      <c r="AC5" s="78">
        <f>if(D5=0, "-", sumif('Game Stats'!AD:AD, A5, 'Game Stats'!AC:AC))</f>
        <v>0</v>
      </c>
      <c r="AD5" s="79">
        <v>0.0</v>
      </c>
      <c r="AE5" s="80" t="str">
        <f t="shared" si="14"/>
        <v>-</v>
      </c>
      <c r="AF5" s="79">
        <v>0.0</v>
      </c>
      <c r="AG5" s="81" t="str">
        <f t="shared" si="15"/>
        <v>-</v>
      </c>
      <c r="AH5" s="81">
        <f t="shared" si="16"/>
        <v>0</v>
      </c>
      <c r="AI5" s="81" t="str">
        <f t="shared" si="17"/>
        <v>-</v>
      </c>
    </row>
    <row r="6" ht="15.75" customHeight="1">
      <c r="A6" s="72" t="s">
        <v>38</v>
      </c>
      <c r="B6" s="46">
        <f>COUNTIF('Game Stats'!A:A, A6)</f>
        <v>24</v>
      </c>
      <c r="C6" s="73">
        <f t="shared" si="1"/>
        <v>87</v>
      </c>
      <c r="D6" s="46">
        <f>sumif('Game Stats'!$A:$A, $A6, 'Game Stats'!B:B)</f>
        <v>66</v>
      </c>
      <c r="E6" s="46">
        <f>sumif('Game Stats'!$A:$A, $A6, 'Game Stats'!C:C)</f>
        <v>24</v>
      </c>
      <c r="F6" s="46">
        <f>sumif('Game Stats'!$A:$A, $A6, 'Game Stats'!D:D)</f>
        <v>24</v>
      </c>
      <c r="G6" s="46">
        <f>sumif('Game Stats'!$A:$A, $A6, 'Game Stats'!E:E)</f>
        <v>20</v>
      </c>
      <c r="H6" s="73">
        <f t="shared" si="2"/>
        <v>17</v>
      </c>
      <c r="I6" s="73">
        <f>sumif('Game Stats'!$A:$A, $A6, 'Game Stats'!G:G)</f>
        <v>0</v>
      </c>
      <c r="J6" s="73">
        <f>sumif('Game Stats'!$A:$A, $A6, 'Game Stats'!H:H)</f>
        <v>6</v>
      </c>
      <c r="K6" s="73">
        <f>sumif('Game Stats'!$A:$A, $A6, 'Game Stats'!I:I)</f>
        <v>1</v>
      </c>
      <c r="L6" s="46">
        <f>sumif('Game Stats'!$A:$A, $A6, 'Game Stats'!Q:Q)</f>
        <v>17</v>
      </c>
      <c r="M6" s="46">
        <f>sumif('Game Stats'!$A:$A, $A6, 'Game Stats'!J:J)</f>
        <v>18</v>
      </c>
      <c r="N6" s="46">
        <f>sumif('Game Stats'!$A:$A, $A6, 'Game Stats'!K:K)</f>
        <v>18</v>
      </c>
      <c r="O6" s="46">
        <f>sumif('Game Stats'!$A:$A, $A6, 'Game Stats'!N:N)</f>
        <v>2</v>
      </c>
      <c r="P6" s="73">
        <f>sumif('Game Stats'!$A:$A, $A6, 'Game Stats'!L:L)</f>
        <v>1</v>
      </c>
      <c r="Q6" s="73">
        <f>sumif('Game Stats'!$A:$A, $A6, 'Game Stats'!M:M)</f>
        <v>0</v>
      </c>
      <c r="R6" s="67">
        <f t="shared" si="3"/>
        <v>39</v>
      </c>
      <c r="S6" s="74">
        <f t="shared" si="4"/>
        <v>0.3636363636</v>
      </c>
      <c r="T6" s="74">
        <f t="shared" si="5"/>
        <v>0.5057471264</v>
      </c>
      <c r="U6" s="75">
        <f t="shared" si="6"/>
        <v>0.5909090909</v>
      </c>
      <c r="V6" s="75">
        <f t="shared" si="7"/>
        <v>1.096656217</v>
      </c>
      <c r="W6" s="75">
        <f t="shared" si="8"/>
        <v>19.5</v>
      </c>
      <c r="X6" s="47">
        <f t="shared" si="9"/>
        <v>0.2068965517</v>
      </c>
      <c r="Y6" s="76">
        <f t="shared" si="10"/>
        <v>0.2068965517</v>
      </c>
      <c r="Z6" s="77">
        <f t="shared" si="11"/>
        <v>1</v>
      </c>
      <c r="AA6" s="64">
        <f t="shared" si="12"/>
        <v>66</v>
      </c>
      <c r="AB6" s="75">
        <f t="shared" si="13"/>
        <v>0.4625287356</v>
      </c>
      <c r="AC6" s="78">
        <f>if(D6=0, "-", sumif('Game Stats'!AD:AD, A6, 'Game Stats'!AC:AC))</f>
        <v>23</v>
      </c>
      <c r="AD6" s="79">
        <v>2.0</v>
      </c>
      <c r="AE6" s="80">
        <f t="shared" si="14"/>
        <v>0.8947368421</v>
      </c>
      <c r="AF6" s="79">
        <v>3.0</v>
      </c>
      <c r="AG6" s="81">
        <f t="shared" si="15"/>
        <v>0.4791666667</v>
      </c>
      <c r="AH6" s="81">
        <f t="shared" si="16"/>
        <v>0.2272727273</v>
      </c>
      <c r="AI6" s="81">
        <f t="shared" si="17"/>
        <v>1.888888889</v>
      </c>
    </row>
    <row r="7" ht="15.75" customHeight="1">
      <c r="A7" s="72" t="s">
        <v>39</v>
      </c>
      <c r="B7" s="46">
        <f>COUNTIF('Game Stats'!A:A, A7)</f>
        <v>23</v>
      </c>
      <c r="C7" s="73">
        <f t="shared" si="1"/>
        <v>64</v>
      </c>
      <c r="D7" s="46">
        <f>sumif('Game Stats'!$A:$A, $A7, 'Game Stats'!B:B)</f>
        <v>50</v>
      </c>
      <c r="E7" s="46">
        <f>sumif('Game Stats'!$A:$A, $A7, 'Game Stats'!C:C)</f>
        <v>15</v>
      </c>
      <c r="F7" s="46">
        <f>sumif('Game Stats'!$A:$A, $A7, 'Game Stats'!D:D)</f>
        <v>14</v>
      </c>
      <c r="G7" s="46">
        <f>sumif('Game Stats'!$A:$A, $A7, 'Game Stats'!E:E)</f>
        <v>16</v>
      </c>
      <c r="H7" s="73">
        <f t="shared" si="2"/>
        <v>9</v>
      </c>
      <c r="I7" s="73">
        <f>sumif('Game Stats'!$A:$A, $A7, 'Game Stats'!G:G)</f>
        <v>3</v>
      </c>
      <c r="J7" s="73">
        <f>sumif('Game Stats'!$A:$A, $A7, 'Game Stats'!H:H)</f>
        <v>2</v>
      </c>
      <c r="K7" s="73">
        <f>sumif('Game Stats'!$A:$A, $A7, 'Game Stats'!I:I)</f>
        <v>0</v>
      </c>
      <c r="L7" s="46">
        <f>sumif('Game Stats'!$A:$A, $A7, 'Game Stats'!Q:Q)</f>
        <v>5</v>
      </c>
      <c r="M7" s="46">
        <f>sumif('Game Stats'!$A:$A, $A7, 'Game Stats'!J:J)</f>
        <v>11</v>
      </c>
      <c r="N7" s="46">
        <f>sumif('Game Stats'!$A:$A, $A7, 'Game Stats'!K:K)</f>
        <v>8</v>
      </c>
      <c r="O7" s="46">
        <f>sumif('Game Stats'!$A:$A, $A7, 'Game Stats'!N:N)</f>
        <v>0</v>
      </c>
      <c r="P7" s="73">
        <f>sumif('Game Stats'!$A:$A, $A7, 'Game Stats'!L:L)</f>
        <v>1</v>
      </c>
      <c r="Q7" s="73">
        <f>sumif('Game Stats'!$A:$A, $A7, 'Game Stats'!M:M)</f>
        <v>2</v>
      </c>
      <c r="R7" s="83">
        <f t="shared" si="3"/>
        <v>21</v>
      </c>
      <c r="S7" s="74">
        <f t="shared" si="4"/>
        <v>0.28</v>
      </c>
      <c r="T7" s="74">
        <f t="shared" si="5"/>
        <v>0.4032258065</v>
      </c>
      <c r="U7" s="75">
        <f t="shared" si="6"/>
        <v>0.42</v>
      </c>
      <c r="V7" s="75">
        <f t="shared" si="7"/>
        <v>0.8232258065</v>
      </c>
      <c r="W7" s="75">
        <f t="shared" si="8"/>
        <v>8.606557377</v>
      </c>
      <c r="X7" s="47">
        <f t="shared" si="9"/>
        <v>0.171875</v>
      </c>
      <c r="Y7" s="76">
        <f t="shared" si="10"/>
        <v>0.125</v>
      </c>
      <c r="Z7" s="77">
        <f t="shared" si="11"/>
        <v>1.375</v>
      </c>
      <c r="AA7" s="64" t="str">
        <f t="shared" si="12"/>
        <v>-</v>
      </c>
      <c r="AB7" s="75">
        <f t="shared" si="13"/>
        <v>0.3608064516</v>
      </c>
      <c r="AC7" s="78">
        <f>if(D7=0, "-", sumif('Game Stats'!AD:AD, A7, 'Game Stats'!AC:AC))</f>
        <v>14</v>
      </c>
      <c r="AD7" s="79">
        <v>3.0</v>
      </c>
      <c r="AE7" s="80">
        <f t="shared" si="14"/>
        <v>0.625</v>
      </c>
      <c r="AF7" s="79">
        <v>4.0</v>
      </c>
      <c r="AG7" s="81">
        <f t="shared" si="15"/>
        <v>0.3255813953</v>
      </c>
      <c r="AH7" s="81">
        <f t="shared" si="16"/>
        <v>0.14</v>
      </c>
      <c r="AI7" s="81">
        <f t="shared" si="17"/>
        <v>0</v>
      </c>
    </row>
    <row r="8" ht="15.75" customHeight="1">
      <c r="A8" s="72" t="s">
        <v>40</v>
      </c>
      <c r="B8" s="46">
        <f>COUNTIF('Game Stats'!A:A, A8)</f>
        <v>24</v>
      </c>
      <c r="C8" s="73">
        <f t="shared" si="1"/>
        <v>84</v>
      </c>
      <c r="D8" s="46">
        <f>sumif('Game Stats'!$A:$A, $A8, 'Game Stats'!B:B)</f>
        <v>74</v>
      </c>
      <c r="E8" s="46">
        <f>sumif('Game Stats'!$A:$A, $A8, 'Game Stats'!C:C)</f>
        <v>22</v>
      </c>
      <c r="F8" s="46">
        <f>sumif('Game Stats'!$A:$A, $A8, 'Game Stats'!D:D)</f>
        <v>30</v>
      </c>
      <c r="G8" s="46">
        <f>sumif('Game Stats'!$A:$A, $A8, 'Game Stats'!E:E)</f>
        <v>30</v>
      </c>
      <c r="H8" s="73">
        <f t="shared" si="2"/>
        <v>16</v>
      </c>
      <c r="I8" s="73">
        <f>sumif('Game Stats'!$A:$A, $A8, 'Game Stats'!G:G)</f>
        <v>6</v>
      </c>
      <c r="J8" s="73">
        <f>sumif('Game Stats'!$A:$A, $A8, 'Game Stats'!H:H)</f>
        <v>1</v>
      </c>
      <c r="K8" s="73">
        <f>sumif('Game Stats'!$A:$A, $A8, 'Game Stats'!I:I)</f>
        <v>7</v>
      </c>
      <c r="L8" s="46">
        <f>sumif('Game Stats'!$A:$A, $A8, 'Game Stats'!Q:Q)</f>
        <v>9</v>
      </c>
      <c r="M8" s="46">
        <f>sumif('Game Stats'!$A:$A, $A8, 'Game Stats'!J:J)</f>
        <v>10</v>
      </c>
      <c r="N8" s="46">
        <f>sumif('Game Stats'!$A:$A, $A8, 'Game Stats'!K:K)</f>
        <v>19</v>
      </c>
      <c r="O8" s="46">
        <f>sumif('Game Stats'!$A:$A, $A8, 'Game Stats'!N:N)</f>
        <v>0</v>
      </c>
      <c r="P8" s="73">
        <f>sumif('Game Stats'!$A:$A, $A8, 'Game Stats'!L:L)</f>
        <v>0</v>
      </c>
      <c r="Q8" s="73">
        <f>sumif('Game Stats'!$A:$A, $A8, 'Game Stats'!M:M)</f>
        <v>0</v>
      </c>
      <c r="R8" s="64">
        <f t="shared" si="3"/>
        <v>59</v>
      </c>
      <c r="S8" s="74">
        <f t="shared" si="4"/>
        <v>0.4054054054</v>
      </c>
      <c r="T8" s="74">
        <f t="shared" si="5"/>
        <v>0.4761904762</v>
      </c>
      <c r="U8" s="75">
        <f t="shared" si="6"/>
        <v>0.7972972973</v>
      </c>
      <c r="V8" s="75">
        <f t="shared" si="7"/>
        <v>1.273487773</v>
      </c>
      <c r="W8" s="75">
        <f t="shared" si="8"/>
        <v>28.0952381</v>
      </c>
      <c r="X8" s="47">
        <f t="shared" si="9"/>
        <v>0.119047619</v>
      </c>
      <c r="Y8" s="76">
        <f t="shared" si="10"/>
        <v>0.2261904762</v>
      </c>
      <c r="Z8" s="77">
        <f t="shared" si="11"/>
        <v>0.5263157895</v>
      </c>
      <c r="AA8" s="64">
        <f t="shared" si="12"/>
        <v>10.57142857</v>
      </c>
      <c r="AB8" s="75">
        <f t="shared" si="13"/>
        <v>0.5236904762</v>
      </c>
      <c r="AC8" s="78">
        <f>if(D8=0, "-", sumif('Game Stats'!AD:AD, A8, 'Game Stats'!AC:AC))</f>
        <v>14</v>
      </c>
      <c r="AD8" s="79">
        <v>3.0</v>
      </c>
      <c r="AE8" s="80">
        <f t="shared" si="14"/>
        <v>0.75</v>
      </c>
      <c r="AF8" s="79">
        <v>1.0</v>
      </c>
      <c r="AG8" s="81">
        <f t="shared" si="15"/>
        <v>0.4791666667</v>
      </c>
      <c r="AH8" s="81">
        <f t="shared" si="16"/>
        <v>0.3918918919</v>
      </c>
      <c r="AI8" s="81">
        <f t="shared" si="17"/>
        <v>7.875</v>
      </c>
    </row>
    <row r="9" ht="15.75" customHeight="1">
      <c r="A9" s="72" t="s">
        <v>41</v>
      </c>
      <c r="B9" s="46">
        <f>COUNTIF('Game Stats'!A:A, A9)</f>
        <v>24</v>
      </c>
      <c r="C9" s="73">
        <f t="shared" si="1"/>
        <v>77</v>
      </c>
      <c r="D9" s="46">
        <f>sumif('Game Stats'!$A:$A, $A9, 'Game Stats'!B:B)</f>
        <v>65</v>
      </c>
      <c r="E9" s="46">
        <f>sumif('Game Stats'!$A:$A, $A9, 'Game Stats'!C:C)</f>
        <v>19</v>
      </c>
      <c r="F9" s="46">
        <f>sumif('Game Stats'!$A:$A, $A9, 'Game Stats'!D:D)</f>
        <v>21</v>
      </c>
      <c r="G9" s="46">
        <f>sumif('Game Stats'!$A:$A, $A9, 'Game Stats'!E:E)</f>
        <v>20</v>
      </c>
      <c r="H9" s="73">
        <f t="shared" si="2"/>
        <v>11</v>
      </c>
      <c r="I9" s="73">
        <f>sumif('Game Stats'!$A:$A, $A9, 'Game Stats'!G:G)</f>
        <v>3</v>
      </c>
      <c r="J9" s="73">
        <f>sumif('Game Stats'!$A:$A, $A9, 'Game Stats'!H:H)</f>
        <v>4</v>
      </c>
      <c r="K9" s="73">
        <f>sumif('Game Stats'!$A:$A, $A9, 'Game Stats'!I:I)</f>
        <v>3</v>
      </c>
      <c r="L9" s="46">
        <f>sumif('Game Stats'!$A:$A, $A9, 'Game Stats'!Q:Q)</f>
        <v>13</v>
      </c>
      <c r="M9" s="46">
        <f>sumif('Game Stats'!$A:$A, $A9, 'Game Stats'!J:J)</f>
        <v>11</v>
      </c>
      <c r="N9" s="46">
        <f>sumif('Game Stats'!$A:$A, $A9, 'Game Stats'!K:K)</f>
        <v>22</v>
      </c>
      <c r="O9" s="46">
        <f>sumif('Game Stats'!$A:$A, $A9, 'Game Stats'!N:N)</f>
        <v>1</v>
      </c>
      <c r="P9" s="73">
        <f>sumif('Game Stats'!$A:$A, $A9, 'Game Stats'!L:L)</f>
        <v>0</v>
      </c>
      <c r="Q9" s="73">
        <f>sumif('Game Stats'!$A:$A, $A9, 'Game Stats'!M:M)</f>
        <v>0</v>
      </c>
      <c r="R9" s="66">
        <f t="shared" si="3"/>
        <v>41</v>
      </c>
      <c r="S9" s="74">
        <f t="shared" si="4"/>
        <v>0.3230769231</v>
      </c>
      <c r="T9" s="74">
        <f t="shared" si="5"/>
        <v>0.4285714286</v>
      </c>
      <c r="U9" s="75">
        <f t="shared" si="6"/>
        <v>0.6307692308</v>
      </c>
      <c r="V9" s="75">
        <f t="shared" si="7"/>
        <v>1.059340659</v>
      </c>
      <c r="W9" s="75">
        <f t="shared" si="8"/>
        <v>17.26315789</v>
      </c>
      <c r="X9" s="47">
        <f t="shared" si="9"/>
        <v>0.1428571429</v>
      </c>
      <c r="Y9" s="76">
        <f t="shared" si="10"/>
        <v>0.2857142857</v>
      </c>
      <c r="Z9" s="77">
        <f t="shared" si="11"/>
        <v>0.5</v>
      </c>
      <c r="AA9" s="64">
        <f t="shared" si="12"/>
        <v>21.66666667</v>
      </c>
      <c r="AB9" s="75">
        <f t="shared" si="13"/>
        <v>0.4414285714</v>
      </c>
      <c r="AC9" s="78">
        <f>if(D9=0, "-", sumif('Game Stats'!AD:AD, A9, 'Game Stats'!AC:AC))</f>
        <v>11</v>
      </c>
      <c r="AD9" s="79">
        <v>1.0</v>
      </c>
      <c r="AE9" s="80">
        <f t="shared" si="14"/>
        <v>0.9285714286</v>
      </c>
      <c r="AF9" s="79">
        <v>0.0</v>
      </c>
      <c r="AG9" s="81">
        <f t="shared" si="15"/>
        <v>0.45</v>
      </c>
      <c r="AH9" s="81">
        <f t="shared" si="16"/>
        <v>0.3076923077</v>
      </c>
      <c r="AI9" s="81">
        <f t="shared" si="17"/>
        <v>4.875</v>
      </c>
    </row>
    <row r="10" ht="15.75" customHeight="1">
      <c r="A10" s="72" t="s">
        <v>42</v>
      </c>
      <c r="B10" s="46">
        <f>COUNTIF('Game Stats'!A:A, A10)</f>
        <v>18</v>
      </c>
      <c r="C10" s="73">
        <f t="shared" si="1"/>
        <v>50</v>
      </c>
      <c r="D10" s="46">
        <f>sumif('Game Stats'!$A:$A, $A10, 'Game Stats'!B:B)</f>
        <v>37</v>
      </c>
      <c r="E10" s="46">
        <f>sumif('Game Stats'!$A:$A, $A10, 'Game Stats'!C:C)</f>
        <v>9</v>
      </c>
      <c r="F10" s="46">
        <f>sumif('Game Stats'!$A:$A, $A10, 'Game Stats'!D:D)</f>
        <v>7</v>
      </c>
      <c r="G10" s="46">
        <f>sumif('Game Stats'!$A:$A, $A10, 'Game Stats'!E:E)</f>
        <v>5</v>
      </c>
      <c r="H10" s="73">
        <f t="shared" si="2"/>
        <v>6</v>
      </c>
      <c r="I10" s="73">
        <f>sumif('Game Stats'!$A:$A, $A10, 'Game Stats'!G:G)</f>
        <v>1</v>
      </c>
      <c r="J10" s="73">
        <f>sumif('Game Stats'!$A:$A, $A10, 'Game Stats'!H:H)</f>
        <v>0</v>
      </c>
      <c r="K10" s="73">
        <f>sumif('Game Stats'!$A:$A, $A10, 'Game Stats'!I:I)</f>
        <v>0</v>
      </c>
      <c r="L10" s="46">
        <f>sumif('Game Stats'!$A:$A, $A10, 'Game Stats'!Q:Q)</f>
        <v>8</v>
      </c>
      <c r="M10" s="46">
        <f>sumif('Game Stats'!$A:$A, $A10, 'Game Stats'!J:J)</f>
        <v>10</v>
      </c>
      <c r="N10" s="46">
        <f>sumif('Game Stats'!$A:$A, $A10, 'Game Stats'!K:K)</f>
        <v>10</v>
      </c>
      <c r="O10" s="46">
        <f>sumif('Game Stats'!$A:$A, $A10, 'Game Stats'!N:N)</f>
        <v>1</v>
      </c>
      <c r="P10" s="73">
        <f>sumif('Game Stats'!$A:$A, $A10, 'Game Stats'!L:L)</f>
        <v>0</v>
      </c>
      <c r="Q10" s="73">
        <f>sumif('Game Stats'!$A:$A, $A10, 'Game Stats'!M:M)</f>
        <v>2</v>
      </c>
      <c r="R10" s="64">
        <f t="shared" si="3"/>
        <v>8</v>
      </c>
      <c r="S10" s="74">
        <f t="shared" si="4"/>
        <v>0.1891891892</v>
      </c>
      <c r="T10" s="74">
        <f t="shared" si="5"/>
        <v>0.375</v>
      </c>
      <c r="U10" s="75">
        <f t="shared" si="6"/>
        <v>0.2162162162</v>
      </c>
      <c r="V10" s="75">
        <f t="shared" si="7"/>
        <v>0.5912162162</v>
      </c>
      <c r="W10" s="75">
        <f t="shared" si="8"/>
        <v>2.893617021</v>
      </c>
      <c r="X10" s="47">
        <f t="shared" si="9"/>
        <v>0.2</v>
      </c>
      <c r="Y10" s="76">
        <f t="shared" si="10"/>
        <v>0.2</v>
      </c>
      <c r="Z10" s="77">
        <f t="shared" si="11"/>
        <v>1</v>
      </c>
      <c r="AA10" s="64" t="str">
        <f t="shared" si="12"/>
        <v>-</v>
      </c>
      <c r="AB10" s="75">
        <f t="shared" si="13"/>
        <v>0.2945833333</v>
      </c>
      <c r="AC10" s="78">
        <f>if(D10=0, "-", sumif('Game Stats'!AD:AD, A10, 'Game Stats'!AC:AC))</f>
        <v>6</v>
      </c>
      <c r="AD10" s="79">
        <v>0.0</v>
      </c>
      <c r="AE10" s="80">
        <f t="shared" si="14"/>
        <v>1</v>
      </c>
      <c r="AF10" s="79">
        <v>1.0</v>
      </c>
      <c r="AG10" s="81">
        <f t="shared" si="15"/>
        <v>0.2592592593</v>
      </c>
      <c r="AH10" s="81">
        <f t="shared" si="16"/>
        <v>0.02702702703</v>
      </c>
      <c r="AI10" s="81">
        <f t="shared" si="17"/>
        <v>0</v>
      </c>
    </row>
    <row r="11" ht="15.75" customHeight="1">
      <c r="A11" s="72" t="s">
        <v>43</v>
      </c>
      <c r="B11" s="46">
        <f>COUNTIF('Game Stats'!A:A, A11)</f>
        <v>9</v>
      </c>
      <c r="C11" s="73">
        <f t="shared" si="1"/>
        <v>24</v>
      </c>
      <c r="D11" s="46">
        <f>sumif('Game Stats'!$A:$A, $A11, 'Game Stats'!B:B)</f>
        <v>18</v>
      </c>
      <c r="E11" s="46">
        <f>sumif('Game Stats'!$A:$A, $A11, 'Game Stats'!C:C)</f>
        <v>5</v>
      </c>
      <c r="F11" s="46">
        <f>sumif('Game Stats'!$A:$A, $A11, 'Game Stats'!D:D)</f>
        <v>3</v>
      </c>
      <c r="G11" s="46">
        <f>sumif('Game Stats'!$A:$A, $A11, 'Game Stats'!E:E)</f>
        <v>3</v>
      </c>
      <c r="H11" s="73">
        <f t="shared" si="2"/>
        <v>2</v>
      </c>
      <c r="I11" s="73">
        <f>sumif('Game Stats'!$A:$A, $A11, 'Game Stats'!G:G)</f>
        <v>1</v>
      </c>
      <c r="J11" s="73">
        <f>sumif('Game Stats'!$A:$A, $A11, 'Game Stats'!H:H)</f>
        <v>0</v>
      </c>
      <c r="K11" s="73">
        <f>sumif('Game Stats'!$A:$A, $A11, 'Game Stats'!I:I)</f>
        <v>0</v>
      </c>
      <c r="L11" s="46">
        <f>sumif('Game Stats'!$A:$A, $A11, 'Game Stats'!Q:Q)</f>
        <v>0</v>
      </c>
      <c r="M11" s="46">
        <f>sumif('Game Stats'!$A:$A, $A11, 'Game Stats'!J:J)</f>
        <v>4</v>
      </c>
      <c r="N11" s="46">
        <f>sumif('Game Stats'!$A:$A, $A11, 'Game Stats'!K:K)</f>
        <v>4</v>
      </c>
      <c r="O11" s="46">
        <f>sumif('Game Stats'!$A:$A, $A11, 'Game Stats'!N:N)</f>
        <v>0</v>
      </c>
      <c r="P11" s="73">
        <f>sumif('Game Stats'!$A:$A, $A11, 'Game Stats'!L:L)</f>
        <v>0</v>
      </c>
      <c r="Q11" s="73">
        <f>sumif('Game Stats'!$A:$A, $A11, 'Game Stats'!M:M)</f>
        <v>2</v>
      </c>
      <c r="R11" s="66">
        <f t="shared" si="3"/>
        <v>4</v>
      </c>
      <c r="S11" s="74">
        <f t="shared" si="4"/>
        <v>0.1666666667</v>
      </c>
      <c r="T11" s="74">
        <f t="shared" si="5"/>
        <v>0.3181818182</v>
      </c>
      <c r="U11" s="75">
        <f t="shared" si="6"/>
        <v>0.2222222222</v>
      </c>
      <c r="V11" s="75">
        <f t="shared" si="7"/>
        <v>0.5404040404</v>
      </c>
      <c r="W11" s="75">
        <f t="shared" si="8"/>
        <v>1.272727273</v>
      </c>
      <c r="X11" s="47">
        <f t="shared" si="9"/>
        <v>0.1666666667</v>
      </c>
      <c r="Y11" s="76">
        <f t="shared" si="10"/>
        <v>0.1666666667</v>
      </c>
      <c r="Z11" s="77">
        <f t="shared" si="11"/>
        <v>1</v>
      </c>
      <c r="AA11" s="64" t="str">
        <f t="shared" si="12"/>
        <v>-</v>
      </c>
      <c r="AB11" s="75">
        <f t="shared" si="13"/>
        <v>0.2618181818</v>
      </c>
      <c r="AC11" s="78">
        <f>if(D11=0, "-", sumif('Game Stats'!AD:AD, A11, 'Game Stats'!AC:AC))</f>
        <v>2</v>
      </c>
      <c r="AD11" s="79">
        <v>0.0</v>
      </c>
      <c r="AE11" s="80" t="str">
        <f t="shared" si="14"/>
        <v>-</v>
      </c>
      <c r="AF11" s="79">
        <v>1.0</v>
      </c>
      <c r="AG11" s="81">
        <f t="shared" si="15"/>
        <v>0.2142857143</v>
      </c>
      <c r="AH11" s="81">
        <f t="shared" si="16"/>
        <v>0.05555555556</v>
      </c>
      <c r="AI11" s="81" t="str">
        <f t="shared" si="17"/>
        <v>-</v>
      </c>
    </row>
    <row r="12" ht="15.75" customHeight="1">
      <c r="A12" s="72" t="s">
        <v>44</v>
      </c>
      <c r="B12" s="46">
        <f>COUNTIF('Game Stats'!A:A, A12)</f>
        <v>23</v>
      </c>
      <c r="C12" s="73">
        <f t="shared" si="1"/>
        <v>68</v>
      </c>
      <c r="D12" s="46">
        <f>sumif('Game Stats'!$A:$A, $A12, 'Game Stats'!B:B)</f>
        <v>57</v>
      </c>
      <c r="E12" s="46">
        <f>sumif('Game Stats'!$A:$A, $A12, 'Game Stats'!C:C)</f>
        <v>11</v>
      </c>
      <c r="F12" s="46">
        <f>sumif('Game Stats'!$A:$A, $A12, 'Game Stats'!D:D)</f>
        <v>16</v>
      </c>
      <c r="G12" s="46">
        <f>sumif('Game Stats'!$A:$A, $A12, 'Game Stats'!E:E)</f>
        <v>16</v>
      </c>
      <c r="H12" s="73">
        <f t="shared" si="2"/>
        <v>10</v>
      </c>
      <c r="I12" s="73">
        <f>sumif('Game Stats'!$A:$A, $A12, 'Game Stats'!G:G)</f>
        <v>5</v>
      </c>
      <c r="J12" s="73">
        <f>sumif('Game Stats'!$A:$A, $A12, 'Game Stats'!H:H)</f>
        <v>1</v>
      </c>
      <c r="K12" s="73">
        <f>sumif('Game Stats'!$A:$A, $A12, 'Game Stats'!I:I)</f>
        <v>0</v>
      </c>
      <c r="L12" s="46">
        <f>sumif('Game Stats'!$A:$A, $A12, 'Game Stats'!Q:Q)</f>
        <v>10</v>
      </c>
      <c r="M12" s="46">
        <f>sumif('Game Stats'!$A:$A, $A12, 'Game Stats'!J:J)</f>
        <v>9</v>
      </c>
      <c r="N12" s="46">
        <f>sumif('Game Stats'!$A:$A, $A12, 'Game Stats'!K:K)</f>
        <v>11</v>
      </c>
      <c r="O12" s="46">
        <f>sumif('Game Stats'!$A:$A, $A12, 'Game Stats'!N:N)</f>
        <v>0</v>
      </c>
      <c r="P12" s="73">
        <f>sumif('Game Stats'!$A:$A, $A12, 'Game Stats'!L:L)</f>
        <v>2</v>
      </c>
      <c r="Q12" s="73">
        <f>sumif('Game Stats'!$A:$A, $A12, 'Game Stats'!M:M)</f>
        <v>0</v>
      </c>
      <c r="R12" s="64">
        <f t="shared" si="3"/>
        <v>23</v>
      </c>
      <c r="S12" s="74">
        <f t="shared" si="4"/>
        <v>0.2807017544</v>
      </c>
      <c r="T12" s="74">
        <f t="shared" si="5"/>
        <v>0.3676470588</v>
      </c>
      <c r="U12" s="75">
        <f t="shared" si="6"/>
        <v>0.4035087719</v>
      </c>
      <c r="V12" s="75">
        <f t="shared" si="7"/>
        <v>0.7711558308</v>
      </c>
      <c r="W12" s="75">
        <f t="shared" si="8"/>
        <v>8.712121212</v>
      </c>
      <c r="X12" s="47">
        <f t="shared" si="9"/>
        <v>0.1323529412</v>
      </c>
      <c r="Y12" s="76">
        <f t="shared" si="10"/>
        <v>0.1617647059</v>
      </c>
      <c r="Z12" s="77">
        <f t="shared" si="11"/>
        <v>0.8181818182</v>
      </c>
      <c r="AA12" s="64" t="str">
        <f t="shared" si="12"/>
        <v>-</v>
      </c>
      <c r="AB12" s="75">
        <f t="shared" si="13"/>
        <v>0.335</v>
      </c>
      <c r="AC12" s="78">
        <f>if(D12=0, "-", sumif('Game Stats'!AD:AD, A12, 'Game Stats'!AC:AC))</f>
        <v>16</v>
      </c>
      <c r="AD12" s="79">
        <v>1.0</v>
      </c>
      <c r="AE12" s="80">
        <f t="shared" si="14"/>
        <v>0.9090909091</v>
      </c>
      <c r="AF12" s="79">
        <v>0.0</v>
      </c>
      <c r="AG12" s="81">
        <f t="shared" si="15"/>
        <v>0.3333333333</v>
      </c>
      <c r="AH12" s="81">
        <f t="shared" si="16"/>
        <v>0.1228070175</v>
      </c>
      <c r="AI12" s="81">
        <f t="shared" si="17"/>
        <v>0</v>
      </c>
    </row>
    <row r="13" ht="15.75" customHeight="1">
      <c r="A13" s="72" t="s">
        <v>45</v>
      </c>
      <c r="B13" s="46">
        <f>COUNTIF('Game Stats'!A:A, A13)</f>
        <v>14</v>
      </c>
      <c r="C13" s="73">
        <f t="shared" si="1"/>
        <v>42</v>
      </c>
      <c r="D13" s="46">
        <f>sumif('Game Stats'!$A:$A, $A13, 'Game Stats'!B:B)</f>
        <v>28</v>
      </c>
      <c r="E13" s="46">
        <f>sumif('Game Stats'!$A:$A, $A13, 'Game Stats'!C:C)</f>
        <v>12</v>
      </c>
      <c r="F13" s="46">
        <f>sumif('Game Stats'!$A:$A, $A13, 'Game Stats'!D:D)</f>
        <v>10</v>
      </c>
      <c r="G13" s="46">
        <f>sumif('Game Stats'!$A:$A, $A13, 'Game Stats'!E:E)</f>
        <v>6</v>
      </c>
      <c r="H13" s="73">
        <f t="shared" si="2"/>
        <v>7</v>
      </c>
      <c r="I13" s="73">
        <f>sumif('Game Stats'!$A:$A, $A13, 'Game Stats'!G:G)</f>
        <v>2</v>
      </c>
      <c r="J13" s="73">
        <f>sumif('Game Stats'!$A:$A, $A13, 'Game Stats'!H:H)</f>
        <v>1</v>
      </c>
      <c r="K13" s="73">
        <f>sumif('Game Stats'!$A:$A, $A13, 'Game Stats'!I:I)</f>
        <v>0</v>
      </c>
      <c r="L13" s="46">
        <f>sumif('Game Stats'!$A:$A, $A13, 'Game Stats'!Q:Q)</f>
        <v>5</v>
      </c>
      <c r="M13" s="46">
        <f>sumif('Game Stats'!$A:$A, $A13, 'Game Stats'!J:J)</f>
        <v>9</v>
      </c>
      <c r="N13" s="46">
        <f>sumif('Game Stats'!$A:$A, $A13, 'Game Stats'!K:K)</f>
        <v>9</v>
      </c>
      <c r="O13" s="46">
        <f>sumif('Game Stats'!$A:$A, $A13, 'Game Stats'!N:N)</f>
        <v>1</v>
      </c>
      <c r="P13" s="73">
        <f>sumif('Game Stats'!$A:$A, $A13, 'Game Stats'!L:L)</f>
        <v>0</v>
      </c>
      <c r="Q13" s="73">
        <f>sumif('Game Stats'!$A:$A, $A13, 'Game Stats'!M:M)</f>
        <v>4</v>
      </c>
      <c r="R13" s="66">
        <f t="shared" si="3"/>
        <v>14</v>
      </c>
      <c r="S13" s="74">
        <f t="shared" si="4"/>
        <v>0.3571428571</v>
      </c>
      <c r="T13" s="74">
        <f t="shared" si="5"/>
        <v>0.5263157895</v>
      </c>
      <c r="U13" s="75">
        <f t="shared" si="6"/>
        <v>0.5</v>
      </c>
      <c r="V13" s="75">
        <f t="shared" si="7"/>
        <v>1.026315789</v>
      </c>
      <c r="W13" s="75">
        <f t="shared" si="8"/>
        <v>7.189189189</v>
      </c>
      <c r="X13" s="47">
        <f t="shared" si="9"/>
        <v>0.2142857143</v>
      </c>
      <c r="Y13" s="76">
        <f t="shared" si="10"/>
        <v>0.2142857143</v>
      </c>
      <c r="Z13" s="77">
        <f t="shared" si="11"/>
        <v>1</v>
      </c>
      <c r="AA13" s="64" t="str">
        <f t="shared" si="12"/>
        <v>-</v>
      </c>
      <c r="AB13" s="75">
        <f t="shared" si="13"/>
        <v>0.4510526316</v>
      </c>
      <c r="AC13" s="78">
        <f>if(D13=0, "-", sumif('Game Stats'!AD:AD, A13, 'Game Stats'!AC:AC))</f>
        <v>9</v>
      </c>
      <c r="AD13" s="79">
        <v>0.0</v>
      </c>
      <c r="AE13" s="80">
        <f t="shared" si="14"/>
        <v>1</v>
      </c>
      <c r="AF13" s="79">
        <v>1.0</v>
      </c>
      <c r="AG13" s="81">
        <f t="shared" si="15"/>
        <v>0.5263157895</v>
      </c>
      <c r="AH13" s="81">
        <f t="shared" si="16"/>
        <v>0.1428571429</v>
      </c>
      <c r="AI13" s="81">
        <f t="shared" si="17"/>
        <v>0</v>
      </c>
    </row>
    <row r="14" ht="15.75" customHeight="1">
      <c r="A14" s="72" t="s">
        <v>46</v>
      </c>
      <c r="B14" s="46">
        <f>COUNTIF('Game Stats'!A:A, A14)</f>
        <v>22</v>
      </c>
      <c r="C14" s="73">
        <f t="shared" si="1"/>
        <v>74</v>
      </c>
      <c r="D14" s="46">
        <f>sumif('Game Stats'!$A:$A, $A14, 'Game Stats'!B:B)</f>
        <v>56</v>
      </c>
      <c r="E14" s="46">
        <f>sumif('Game Stats'!$A:$A, $A14, 'Game Stats'!C:C)</f>
        <v>25</v>
      </c>
      <c r="F14" s="46">
        <f>sumif('Game Stats'!$A:$A, $A14, 'Game Stats'!D:D)</f>
        <v>22</v>
      </c>
      <c r="G14" s="46">
        <f>sumif('Game Stats'!$A:$A, $A14, 'Game Stats'!E:E)</f>
        <v>20</v>
      </c>
      <c r="H14" s="73">
        <f t="shared" si="2"/>
        <v>14</v>
      </c>
      <c r="I14" s="73">
        <f>sumif('Game Stats'!$A:$A, $A14, 'Game Stats'!G:G)</f>
        <v>4</v>
      </c>
      <c r="J14" s="73">
        <f>sumif('Game Stats'!$A:$A, $A14, 'Game Stats'!H:H)</f>
        <v>0</v>
      </c>
      <c r="K14" s="73">
        <f>sumif('Game Stats'!$A:$A, $A14, 'Game Stats'!I:I)</f>
        <v>4</v>
      </c>
      <c r="L14" s="46">
        <f>sumif('Game Stats'!$A:$A, $A14, 'Game Stats'!Q:Q)</f>
        <v>15</v>
      </c>
      <c r="M14" s="46">
        <f>sumif('Game Stats'!$A:$A, $A14, 'Game Stats'!J:J)</f>
        <v>12</v>
      </c>
      <c r="N14" s="46">
        <f>sumif('Game Stats'!$A:$A, $A14, 'Game Stats'!K:K)</f>
        <v>15</v>
      </c>
      <c r="O14" s="46">
        <f>sumif('Game Stats'!$A:$A, $A14, 'Game Stats'!N:N)</f>
        <v>3</v>
      </c>
      <c r="P14" s="73">
        <f>sumif('Game Stats'!$A:$A, $A14, 'Game Stats'!L:L)</f>
        <v>3</v>
      </c>
      <c r="Q14" s="73">
        <f>sumif('Game Stats'!$A:$A, $A14, 'Game Stats'!M:M)</f>
        <v>0</v>
      </c>
      <c r="R14" s="64">
        <f t="shared" si="3"/>
        <v>38</v>
      </c>
      <c r="S14" s="74">
        <f t="shared" si="4"/>
        <v>0.3928571429</v>
      </c>
      <c r="T14" s="74">
        <f t="shared" si="5"/>
        <v>0.5</v>
      </c>
      <c r="U14" s="75">
        <f t="shared" si="6"/>
        <v>0.6785714286</v>
      </c>
      <c r="V14" s="75">
        <f t="shared" si="7"/>
        <v>1.178571429</v>
      </c>
      <c r="W14" s="75">
        <f t="shared" si="8"/>
        <v>19</v>
      </c>
      <c r="X14" s="47">
        <f t="shared" si="9"/>
        <v>0.1621621622</v>
      </c>
      <c r="Y14" s="76">
        <f t="shared" si="10"/>
        <v>0.2027027027</v>
      </c>
      <c r="Z14" s="77">
        <f t="shared" si="11"/>
        <v>0.8</v>
      </c>
      <c r="AA14" s="64">
        <f t="shared" si="12"/>
        <v>14</v>
      </c>
      <c r="AB14" s="75">
        <f t="shared" si="13"/>
        <v>0.4827027027</v>
      </c>
      <c r="AC14" s="78">
        <f>if(D14=0, "-", sumif('Game Stats'!AD:AD, A14, 'Game Stats'!AC:AC))</f>
        <v>16</v>
      </c>
      <c r="AD14" s="79">
        <v>0.0</v>
      </c>
      <c r="AE14" s="80">
        <f t="shared" si="14"/>
        <v>1</v>
      </c>
      <c r="AF14" s="79">
        <v>1.0</v>
      </c>
      <c r="AG14" s="81">
        <f t="shared" si="15"/>
        <v>0.45</v>
      </c>
      <c r="AH14" s="81">
        <f t="shared" si="16"/>
        <v>0.2857142857</v>
      </c>
      <c r="AI14" s="81">
        <f t="shared" si="17"/>
        <v>6.315789474</v>
      </c>
    </row>
    <row r="15" ht="15.75" customHeight="1">
      <c r="A15" s="72" t="s">
        <v>47</v>
      </c>
      <c r="B15" s="46">
        <f>COUNTIF('Game Stats'!A:A, A15)</f>
        <v>2</v>
      </c>
      <c r="C15" s="73">
        <f t="shared" si="1"/>
        <v>2</v>
      </c>
      <c r="D15" s="46">
        <f>sumif('Game Stats'!$A:$A, $A15, 'Game Stats'!B:B)</f>
        <v>1</v>
      </c>
      <c r="E15" s="46">
        <f>sumif('Game Stats'!$A:$A, $A15, 'Game Stats'!C:C)</f>
        <v>0</v>
      </c>
      <c r="F15" s="46">
        <f>sumif('Game Stats'!$A:$A, $A15, 'Game Stats'!D:D)</f>
        <v>1</v>
      </c>
      <c r="G15" s="46">
        <f>sumif('Game Stats'!$A:$A, $A15, 'Game Stats'!E:E)</f>
        <v>1</v>
      </c>
      <c r="H15" s="73">
        <f t="shared" si="2"/>
        <v>1</v>
      </c>
      <c r="I15" s="73">
        <f>sumif('Game Stats'!$A:$A, $A15, 'Game Stats'!G:G)</f>
        <v>0</v>
      </c>
      <c r="J15" s="73">
        <f>sumif('Game Stats'!$A:$A, $A15, 'Game Stats'!H:H)</f>
        <v>0</v>
      </c>
      <c r="K15" s="73">
        <f>sumif('Game Stats'!$A:$A, $A15, 'Game Stats'!I:I)</f>
        <v>0</v>
      </c>
      <c r="L15" s="46">
        <f>sumif('Game Stats'!$A:$A, $A15, 'Game Stats'!Q:Q)</f>
        <v>0</v>
      </c>
      <c r="M15" s="46">
        <f>sumif('Game Stats'!$A:$A, $A15, 'Game Stats'!J:J)</f>
        <v>1</v>
      </c>
      <c r="N15" s="46">
        <f>sumif('Game Stats'!$A:$A, $A15, 'Game Stats'!K:K)</f>
        <v>0</v>
      </c>
      <c r="O15" s="46">
        <f>sumif('Game Stats'!$A:$A, $A15, 'Game Stats'!N:N)</f>
        <v>0</v>
      </c>
      <c r="P15" s="73">
        <f>sumif('Game Stats'!$A:$A, $A15, 'Game Stats'!L:L)</f>
        <v>0</v>
      </c>
      <c r="Q15" s="73">
        <f>sumif('Game Stats'!$A:$A, $A15, 'Game Stats'!M:M)</f>
        <v>0</v>
      </c>
      <c r="R15" s="66">
        <f t="shared" si="3"/>
        <v>1</v>
      </c>
      <c r="S15" s="74">
        <f t="shared" si="4"/>
        <v>1</v>
      </c>
      <c r="T15" s="74">
        <f t="shared" si="5"/>
        <v>1</v>
      </c>
      <c r="U15" s="75">
        <f t="shared" si="6"/>
        <v>1</v>
      </c>
      <c r="V15" s="75">
        <f t="shared" si="7"/>
        <v>2</v>
      </c>
      <c r="W15" s="75">
        <f t="shared" si="8"/>
        <v>1</v>
      </c>
      <c r="X15" s="47">
        <f t="shared" si="9"/>
        <v>0.5</v>
      </c>
      <c r="Y15" s="76">
        <f t="shared" si="10"/>
        <v>0</v>
      </c>
      <c r="Z15" s="77" t="str">
        <f t="shared" si="11"/>
        <v>0</v>
      </c>
      <c r="AA15" s="64" t="str">
        <f t="shared" si="12"/>
        <v>-</v>
      </c>
      <c r="AB15" s="75">
        <f t="shared" si="13"/>
        <v>0.785</v>
      </c>
      <c r="AC15" s="78">
        <f>if(D15=0, "-", sumif('Game Stats'!AD:AD, A15, 'Game Stats'!AC:AC))</f>
        <v>0</v>
      </c>
      <c r="AD15" s="79">
        <v>0.0</v>
      </c>
      <c r="AE15" s="80" t="str">
        <f t="shared" si="14"/>
        <v>-</v>
      </c>
      <c r="AF15" s="79">
        <v>0.0</v>
      </c>
      <c r="AG15" s="81">
        <f t="shared" si="15"/>
        <v>1</v>
      </c>
      <c r="AH15" s="81">
        <f t="shared" si="16"/>
        <v>0</v>
      </c>
      <c r="AI15" s="81" t="str">
        <f t="shared" si="17"/>
        <v>-</v>
      </c>
    </row>
    <row r="16" ht="15.75" customHeight="1">
      <c r="A16" s="72" t="s">
        <v>48</v>
      </c>
      <c r="B16" s="46">
        <f>COUNTIF('Game Stats'!A:A, A16)</f>
        <v>3</v>
      </c>
      <c r="C16" s="73">
        <f t="shared" si="1"/>
        <v>5</v>
      </c>
      <c r="D16" s="46">
        <f>sumif('Game Stats'!$A:$A, $A16, 'Game Stats'!B:B)</f>
        <v>2</v>
      </c>
      <c r="E16" s="46">
        <f>sumif('Game Stats'!$A:$A, $A16, 'Game Stats'!C:C)</f>
        <v>2</v>
      </c>
      <c r="F16" s="46">
        <f>sumif('Game Stats'!$A:$A, $A16, 'Game Stats'!D:D)</f>
        <v>0</v>
      </c>
      <c r="G16" s="46">
        <f>sumif('Game Stats'!$A:$A, $A16, 'Game Stats'!E:E)</f>
        <v>2</v>
      </c>
      <c r="H16" s="73">
        <f t="shared" si="2"/>
        <v>0</v>
      </c>
      <c r="I16" s="73">
        <f>sumif('Game Stats'!$A:$A, $A16, 'Game Stats'!G:G)</f>
        <v>0</v>
      </c>
      <c r="J16" s="73">
        <f>sumif('Game Stats'!$A:$A, $A16, 'Game Stats'!H:H)</f>
        <v>0</v>
      </c>
      <c r="K16" s="73">
        <f>sumif('Game Stats'!$A:$A, $A16, 'Game Stats'!I:I)</f>
        <v>0</v>
      </c>
      <c r="L16" s="46">
        <f>sumif('Game Stats'!$A:$A, $A16, 'Game Stats'!Q:Q)</f>
        <v>0</v>
      </c>
      <c r="M16" s="46">
        <f>sumif('Game Stats'!$A:$A, $A16, 'Game Stats'!J:J)</f>
        <v>1</v>
      </c>
      <c r="N16" s="46">
        <f>sumif('Game Stats'!$A:$A, $A16, 'Game Stats'!K:K)</f>
        <v>0</v>
      </c>
      <c r="O16" s="46">
        <f>sumif('Game Stats'!$A:$A, $A16, 'Game Stats'!N:N)</f>
        <v>2</v>
      </c>
      <c r="P16" s="73">
        <f>sumif('Game Stats'!$A:$A, $A16, 'Game Stats'!L:L)</f>
        <v>0</v>
      </c>
      <c r="Q16" s="73">
        <f>sumif('Game Stats'!$A:$A, $A16, 'Game Stats'!M:M)</f>
        <v>0</v>
      </c>
      <c r="R16" s="64">
        <f t="shared" si="3"/>
        <v>0</v>
      </c>
      <c r="S16" s="74">
        <f t="shared" si="4"/>
        <v>0</v>
      </c>
      <c r="T16" s="74">
        <f t="shared" si="5"/>
        <v>0.6</v>
      </c>
      <c r="U16" s="75">
        <f t="shared" si="6"/>
        <v>0</v>
      </c>
      <c r="V16" s="75">
        <f t="shared" si="7"/>
        <v>0.6</v>
      </c>
      <c r="W16" s="75">
        <f t="shared" si="8"/>
        <v>0</v>
      </c>
      <c r="X16" s="47">
        <f t="shared" si="9"/>
        <v>0.2</v>
      </c>
      <c r="Y16" s="76">
        <f t="shared" si="10"/>
        <v>0</v>
      </c>
      <c r="Z16" s="77" t="str">
        <f t="shared" si="11"/>
        <v>0</v>
      </c>
      <c r="AA16" s="64" t="str">
        <f t="shared" si="12"/>
        <v>-</v>
      </c>
      <c r="AB16" s="75">
        <f t="shared" si="13"/>
        <v>0.426</v>
      </c>
      <c r="AC16" s="78">
        <f>if(D16=0, "-", sumif('Game Stats'!AD:AD, A16, 'Game Stats'!AC:AC))</f>
        <v>0</v>
      </c>
      <c r="AD16" s="79">
        <v>0.0</v>
      </c>
      <c r="AE16" s="80" t="str">
        <f t="shared" si="14"/>
        <v>-</v>
      </c>
      <c r="AF16" s="79">
        <v>0.0</v>
      </c>
      <c r="AG16" s="81">
        <f t="shared" si="15"/>
        <v>0</v>
      </c>
      <c r="AH16" s="81">
        <f t="shared" si="16"/>
        <v>0</v>
      </c>
      <c r="AI16" s="81" t="str">
        <f t="shared" si="17"/>
        <v>-</v>
      </c>
    </row>
    <row r="17" ht="15.75" customHeight="1">
      <c r="A17" s="72" t="s">
        <v>49</v>
      </c>
      <c r="B17" s="46">
        <f>COUNTIF('Game Stats'!A:A, A17)</f>
        <v>25</v>
      </c>
      <c r="C17" s="73">
        <f t="shared" si="1"/>
        <v>90</v>
      </c>
      <c r="D17" s="46">
        <f>sumif('Game Stats'!$A:$A, $A17, 'Game Stats'!B:B)</f>
        <v>75</v>
      </c>
      <c r="E17" s="46">
        <f>sumif('Game Stats'!$A:$A, $A17, 'Game Stats'!C:C)</f>
        <v>30</v>
      </c>
      <c r="F17" s="46">
        <f>sumif('Game Stats'!$A:$A, $A17, 'Game Stats'!D:D)</f>
        <v>31</v>
      </c>
      <c r="G17" s="46">
        <f>sumif('Game Stats'!$A:$A, $A17, 'Game Stats'!E:E)</f>
        <v>8</v>
      </c>
      <c r="H17" s="73">
        <f t="shared" si="2"/>
        <v>26</v>
      </c>
      <c r="I17" s="73">
        <f>sumif('Game Stats'!$A:$A, $A17, 'Game Stats'!G:G)</f>
        <v>4</v>
      </c>
      <c r="J17" s="73">
        <f>sumif('Game Stats'!$A:$A, $A17, 'Game Stats'!H:H)</f>
        <v>1</v>
      </c>
      <c r="K17" s="73">
        <f>sumif('Game Stats'!$A:$A, $A17, 'Game Stats'!I:I)</f>
        <v>0</v>
      </c>
      <c r="L17" s="46">
        <f>sumif('Game Stats'!$A:$A, $A17, 'Game Stats'!Q:Q)</f>
        <v>15</v>
      </c>
      <c r="M17" s="46">
        <f>sumif('Game Stats'!$A:$A, $A17, 'Game Stats'!J:J)</f>
        <v>11</v>
      </c>
      <c r="N17" s="46">
        <f>sumif('Game Stats'!$A:$A, $A17, 'Game Stats'!K:K)</f>
        <v>21</v>
      </c>
      <c r="O17" s="46">
        <f>sumif('Game Stats'!$A:$A, $A17, 'Game Stats'!N:N)</f>
        <v>2</v>
      </c>
      <c r="P17" s="73">
        <f>sumif('Game Stats'!$A:$A, $A17, 'Game Stats'!L:L)</f>
        <v>1</v>
      </c>
      <c r="Q17" s="73">
        <f>sumif('Game Stats'!$A:$A, $A17, 'Game Stats'!M:M)</f>
        <v>1</v>
      </c>
      <c r="R17" s="66">
        <f t="shared" si="3"/>
        <v>37</v>
      </c>
      <c r="S17" s="74">
        <f t="shared" si="4"/>
        <v>0.4133333333</v>
      </c>
      <c r="T17" s="74">
        <f t="shared" si="5"/>
        <v>0.4943820225</v>
      </c>
      <c r="U17" s="75">
        <f t="shared" si="6"/>
        <v>0.4933333333</v>
      </c>
      <c r="V17" s="75">
        <f t="shared" si="7"/>
        <v>0.9877153558</v>
      </c>
      <c r="W17" s="75">
        <f t="shared" si="8"/>
        <v>18.06976744</v>
      </c>
      <c r="X17" s="47">
        <f t="shared" si="9"/>
        <v>0.1222222222</v>
      </c>
      <c r="Y17" s="76">
        <f t="shared" si="10"/>
        <v>0.2333333333</v>
      </c>
      <c r="Z17" s="77">
        <f t="shared" si="11"/>
        <v>0.5238095238</v>
      </c>
      <c r="AA17" s="64" t="str">
        <f t="shared" si="12"/>
        <v>-</v>
      </c>
      <c r="AB17" s="75">
        <f t="shared" si="13"/>
        <v>0.4319101124</v>
      </c>
      <c r="AC17" s="78">
        <f>if(D17=0, "-", sumif('Game Stats'!AD:AD, A17, 'Game Stats'!AC:AC))</f>
        <v>17</v>
      </c>
      <c r="AD17" s="79">
        <v>0.0</v>
      </c>
      <c r="AE17" s="80">
        <f t="shared" si="14"/>
        <v>1</v>
      </c>
      <c r="AF17" s="79">
        <v>1.0</v>
      </c>
      <c r="AG17" s="81">
        <f t="shared" si="15"/>
        <v>0.5636363636</v>
      </c>
      <c r="AH17" s="81">
        <f t="shared" si="16"/>
        <v>0.08</v>
      </c>
      <c r="AI17" s="81">
        <f t="shared" si="17"/>
        <v>0</v>
      </c>
    </row>
    <row r="18" ht="15.75" customHeight="1">
      <c r="A18" s="72" t="s">
        <v>50</v>
      </c>
      <c r="B18" s="46">
        <f>COUNTIF('Game Stats'!A:A, A18)</f>
        <v>25</v>
      </c>
      <c r="C18" s="73">
        <f t="shared" si="1"/>
        <v>91</v>
      </c>
      <c r="D18" s="46">
        <f>sumif('Game Stats'!$A:$A, $A18, 'Game Stats'!B:B)</f>
        <v>71</v>
      </c>
      <c r="E18" s="46">
        <f>sumif('Game Stats'!$A:$A, $A18, 'Game Stats'!C:C)</f>
        <v>22</v>
      </c>
      <c r="F18" s="46">
        <f>sumif('Game Stats'!$A:$A, $A18, 'Game Stats'!D:D)</f>
        <v>31</v>
      </c>
      <c r="G18" s="46">
        <f>sumif('Game Stats'!$A:$A, $A18, 'Game Stats'!E:E)</f>
        <v>29</v>
      </c>
      <c r="H18" s="73">
        <f t="shared" si="2"/>
        <v>23</v>
      </c>
      <c r="I18" s="73">
        <f>sumif('Game Stats'!$A:$A, $A18, 'Game Stats'!G:G)</f>
        <v>5</v>
      </c>
      <c r="J18" s="73">
        <f>sumif('Game Stats'!$A:$A, $A18, 'Game Stats'!H:H)</f>
        <v>1</v>
      </c>
      <c r="K18" s="73">
        <f>sumif('Game Stats'!$A:$A, $A18, 'Game Stats'!I:I)</f>
        <v>2</v>
      </c>
      <c r="L18" s="46">
        <f>sumif('Game Stats'!$A:$A, $A18, 'Game Stats'!Q:Q)</f>
        <v>10</v>
      </c>
      <c r="M18" s="46">
        <f>sumif('Game Stats'!$A:$A, $A18, 'Game Stats'!J:J)</f>
        <v>17</v>
      </c>
      <c r="N18" s="46">
        <f>sumif('Game Stats'!$A:$A, $A18, 'Game Stats'!K:K)</f>
        <v>5</v>
      </c>
      <c r="O18" s="46">
        <f>sumif('Game Stats'!$A:$A, $A18, 'Game Stats'!N:N)</f>
        <v>2</v>
      </c>
      <c r="P18" s="73">
        <f>sumif('Game Stats'!$A:$A, $A18, 'Game Stats'!L:L)</f>
        <v>1</v>
      </c>
      <c r="Q18" s="73">
        <f>sumif('Game Stats'!$A:$A, $A18, 'Game Stats'!M:M)</f>
        <v>0</v>
      </c>
      <c r="R18" s="64">
        <f t="shared" si="3"/>
        <v>44</v>
      </c>
      <c r="S18" s="74">
        <f t="shared" si="4"/>
        <v>0.4366197183</v>
      </c>
      <c r="T18" s="74">
        <f t="shared" si="5"/>
        <v>0.5494505495</v>
      </c>
      <c r="U18" s="75">
        <f t="shared" si="6"/>
        <v>0.6197183099</v>
      </c>
      <c r="V18" s="75">
        <f t="shared" si="7"/>
        <v>1.169168859</v>
      </c>
      <c r="W18" s="75">
        <f t="shared" si="8"/>
        <v>24</v>
      </c>
      <c r="X18" s="47">
        <f t="shared" si="9"/>
        <v>0.1868131868</v>
      </c>
      <c r="Y18" s="76">
        <f t="shared" si="10"/>
        <v>0.05494505495</v>
      </c>
      <c r="Z18" s="77">
        <f t="shared" si="11"/>
        <v>3.4</v>
      </c>
      <c r="AA18" s="64">
        <f t="shared" si="12"/>
        <v>35.5</v>
      </c>
      <c r="AB18" s="75">
        <f t="shared" si="13"/>
        <v>0.4964835165</v>
      </c>
      <c r="AC18" s="78">
        <f>if(D18=0, "-", sumif('Game Stats'!AD:AD, A18, 'Game Stats'!AC:AC))</f>
        <v>5</v>
      </c>
      <c r="AD18" s="79">
        <v>3.0</v>
      </c>
      <c r="AE18" s="80">
        <f t="shared" si="14"/>
        <v>0.7692307692</v>
      </c>
      <c r="AF18" s="79">
        <v>2.0</v>
      </c>
      <c r="AG18" s="81">
        <f t="shared" si="15"/>
        <v>0.4461538462</v>
      </c>
      <c r="AH18" s="81">
        <f t="shared" si="16"/>
        <v>0.1830985915</v>
      </c>
      <c r="AI18" s="81">
        <f t="shared" si="17"/>
        <v>3.333333333</v>
      </c>
    </row>
    <row r="19" ht="15.75" customHeight="1">
      <c r="A19" s="72" t="s">
        <v>51</v>
      </c>
      <c r="B19" s="46">
        <f>COUNTIF('Game Stats'!A:A, A19)</f>
        <v>4</v>
      </c>
      <c r="C19" s="73">
        <f t="shared" si="1"/>
        <v>12</v>
      </c>
      <c r="D19" s="46">
        <f>sumif('Game Stats'!$A:$A, $A19, 'Game Stats'!B:B)</f>
        <v>10</v>
      </c>
      <c r="E19" s="46">
        <f>sumif('Game Stats'!$A:$A, $A19, 'Game Stats'!C:C)</f>
        <v>2</v>
      </c>
      <c r="F19" s="46">
        <f>sumif('Game Stats'!$A:$A, $A19, 'Game Stats'!D:D)</f>
        <v>3</v>
      </c>
      <c r="G19" s="46">
        <f>sumif('Game Stats'!$A:$A, $A19, 'Game Stats'!E:E)</f>
        <v>5</v>
      </c>
      <c r="H19" s="73">
        <f t="shared" si="2"/>
        <v>1</v>
      </c>
      <c r="I19" s="73">
        <f>sumif('Game Stats'!$A:$A, $A19, 'Game Stats'!G:G)</f>
        <v>2</v>
      </c>
      <c r="J19" s="73">
        <f>sumif('Game Stats'!$A:$A, $A19, 'Game Stats'!H:H)</f>
        <v>0</v>
      </c>
      <c r="K19" s="73">
        <f>sumif('Game Stats'!$A:$A, $A19, 'Game Stats'!I:I)</f>
        <v>0</v>
      </c>
      <c r="L19" s="46">
        <f>sumif('Game Stats'!$A:$A, $A19, 'Game Stats'!Q:Q)</f>
        <v>0</v>
      </c>
      <c r="M19" s="46">
        <f>sumif('Game Stats'!$A:$A, $A19, 'Game Stats'!J:J)</f>
        <v>0</v>
      </c>
      <c r="N19" s="46">
        <f>sumif('Game Stats'!$A:$A, $A19, 'Game Stats'!K:K)</f>
        <v>4</v>
      </c>
      <c r="O19" s="46">
        <f>sumif('Game Stats'!$A:$A, $A19, 'Game Stats'!N:N)</f>
        <v>0</v>
      </c>
      <c r="P19" s="73">
        <f>sumif('Game Stats'!$A:$A, $A19, 'Game Stats'!L:L)</f>
        <v>2</v>
      </c>
      <c r="Q19" s="73">
        <f>sumif('Game Stats'!$A:$A, $A19, 'Game Stats'!M:M)</f>
        <v>0</v>
      </c>
      <c r="R19" s="66">
        <f t="shared" si="3"/>
        <v>5</v>
      </c>
      <c r="S19" s="74">
        <f t="shared" si="4"/>
        <v>0.3</v>
      </c>
      <c r="T19" s="74">
        <f t="shared" si="5"/>
        <v>0.25</v>
      </c>
      <c r="U19" s="75">
        <f t="shared" si="6"/>
        <v>0.5</v>
      </c>
      <c r="V19" s="75">
        <f t="shared" si="7"/>
        <v>0.75</v>
      </c>
      <c r="W19" s="75">
        <f t="shared" si="8"/>
        <v>1.5</v>
      </c>
      <c r="X19" s="47">
        <f t="shared" si="9"/>
        <v>0</v>
      </c>
      <c r="Y19" s="76">
        <f t="shared" si="10"/>
        <v>0.3333333333</v>
      </c>
      <c r="Z19" s="77">
        <f t="shared" si="11"/>
        <v>0</v>
      </c>
      <c r="AA19" s="64" t="str">
        <f t="shared" si="12"/>
        <v>-</v>
      </c>
      <c r="AB19" s="75">
        <f t="shared" si="13"/>
        <v>0.28</v>
      </c>
      <c r="AC19" s="78">
        <f>if(D19=0, "-", sumif('Game Stats'!AD:AD, A19, 'Game Stats'!AC:AC))</f>
        <v>5</v>
      </c>
      <c r="AD19" s="79">
        <v>0.0</v>
      </c>
      <c r="AE19" s="80" t="str">
        <f t="shared" si="14"/>
        <v>-</v>
      </c>
      <c r="AF19" s="79">
        <v>0.0</v>
      </c>
      <c r="AG19" s="81">
        <f t="shared" si="15"/>
        <v>0.375</v>
      </c>
      <c r="AH19" s="81">
        <f t="shared" si="16"/>
        <v>0.2</v>
      </c>
      <c r="AI19" s="81" t="str">
        <f t="shared" si="17"/>
        <v>-</v>
      </c>
    </row>
    <row r="20" ht="15.75" customHeight="1">
      <c r="A20" s="72" t="s">
        <v>52</v>
      </c>
      <c r="B20" s="46">
        <f>COUNTIF('Game Stats'!A:A, A20)</f>
        <v>6</v>
      </c>
      <c r="C20" s="73">
        <f t="shared" si="1"/>
        <v>9</v>
      </c>
      <c r="D20" s="46">
        <f>sumif('Game Stats'!$A:$A, $A20, 'Game Stats'!B:B)</f>
        <v>7</v>
      </c>
      <c r="E20" s="46">
        <f>sumif('Game Stats'!$A:$A, $A20, 'Game Stats'!C:C)</f>
        <v>6</v>
      </c>
      <c r="F20" s="46">
        <f>sumif('Game Stats'!$A:$A, $A20, 'Game Stats'!D:D)</f>
        <v>3</v>
      </c>
      <c r="G20" s="46">
        <f>sumif('Game Stats'!$A:$A, $A20, 'Game Stats'!E:E)</f>
        <v>4</v>
      </c>
      <c r="H20" s="73">
        <f t="shared" si="2"/>
        <v>2</v>
      </c>
      <c r="I20" s="73">
        <f>sumif('Game Stats'!$A:$A, $A20, 'Game Stats'!G:G)</f>
        <v>0</v>
      </c>
      <c r="J20" s="73">
        <f>sumif('Game Stats'!$A:$A, $A20, 'Game Stats'!H:H)</f>
        <v>1</v>
      </c>
      <c r="K20" s="73">
        <f>sumif('Game Stats'!$A:$A, $A20, 'Game Stats'!I:I)</f>
        <v>0</v>
      </c>
      <c r="L20" s="46">
        <f>sumif('Game Stats'!$A:$A, $A20, 'Game Stats'!Q:Q)</f>
        <v>1</v>
      </c>
      <c r="M20" s="46">
        <f>sumif('Game Stats'!$A:$A, $A20, 'Game Stats'!J:J)</f>
        <v>1</v>
      </c>
      <c r="N20" s="46">
        <f>sumif('Game Stats'!$A:$A, $A20, 'Game Stats'!K:K)</f>
        <v>0</v>
      </c>
      <c r="O20" s="46">
        <f>sumif('Game Stats'!$A:$A, $A20, 'Game Stats'!N:N)</f>
        <v>1</v>
      </c>
      <c r="P20" s="73">
        <f>sumif('Game Stats'!$A:$A, $A20, 'Game Stats'!L:L)</f>
        <v>0</v>
      </c>
      <c r="Q20" s="73">
        <f>sumif('Game Stats'!$A:$A, $A20, 'Game Stats'!M:M)</f>
        <v>0</v>
      </c>
      <c r="R20" s="64">
        <f t="shared" si="3"/>
        <v>5</v>
      </c>
      <c r="S20" s="74">
        <f t="shared" si="4"/>
        <v>0.4285714286</v>
      </c>
      <c r="T20" s="74">
        <f t="shared" si="5"/>
        <v>0.5555555556</v>
      </c>
      <c r="U20" s="75">
        <f t="shared" si="6"/>
        <v>0.7142857143</v>
      </c>
      <c r="V20" s="75">
        <f t="shared" si="7"/>
        <v>1.26984127</v>
      </c>
      <c r="W20" s="75">
        <f t="shared" si="8"/>
        <v>2.5</v>
      </c>
      <c r="X20" s="47">
        <f t="shared" si="9"/>
        <v>0.1111111111</v>
      </c>
      <c r="Y20" s="76">
        <f t="shared" si="10"/>
        <v>0</v>
      </c>
      <c r="Z20" s="77" t="str">
        <f t="shared" si="11"/>
        <v>0</v>
      </c>
      <c r="AA20" s="64" t="str">
        <f t="shared" si="12"/>
        <v>-</v>
      </c>
      <c r="AB20" s="75">
        <f t="shared" si="13"/>
        <v>0.5266666667</v>
      </c>
      <c r="AC20" s="78">
        <f>if(D20=0, "-", sumif('Game Stats'!AD:AD, A20, 'Game Stats'!AC:AC))</f>
        <v>0</v>
      </c>
      <c r="AD20" s="79">
        <v>0.0</v>
      </c>
      <c r="AE20" s="80">
        <f t="shared" si="14"/>
        <v>1</v>
      </c>
      <c r="AF20" s="79">
        <v>0.0</v>
      </c>
      <c r="AG20" s="81">
        <f t="shared" si="15"/>
        <v>0.4285714286</v>
      </c>
      <c r="AH20" s="81">
        <f t="shared" si="16"/>
        <v>0.2857142857</v>
      </c>
      <c r="AI20" s="81">
        <f t="shared" si="17"/>
        <v>0</v>
      </c>
    </row>
    <row r="21" ht="15.75" customHeight="1">
      <c r="A21" s="72" t="s">
        <v>53</v>
      </c>
      <c r="B21" s="46">
        <f>COUNTIF('Game Stats'!A:A, A21)</f>
        <v>13</v>
      </c>
      <c r="C21" s="73">
        <f t="shared" si="1"/>
        <v>26</v>
      </c>
      <c r="D21" s="46">
        <f>sumif('Game Stats'!$A:$A, $A21, 'Game Stats'!B:B)</f>
        <v>20</v>
      </c>
      <c r="E21" s="46">
        <f>sumif('Game Stats'!$A:$A, $A21, 'Game Stats'!C:C)</f>
        <v>10</v>
      </c>
      <c r="F21" s="46">
        <f>sumif('Game Stats'!$A:$A, $A21, 'Game Stats'!D:D)</f>
        <v>9</v>
      </c>
      <c r="G21" s="46">
        <f>sumif('Game Stats'!$A:$A, $A21, 'Game Stats'!E:E)</f>
        <v>8</v>
      </c>
      <c r="H21" s="73">
        <f t="shared" si="2"/>
        <v>8</v>
      </c>
      <c r="I21" s="73">
        <f>sumif('Game Stats'!$A:$A, $A21, 'Game Stats'!G:G)</f>
        <v>0</v>
      </c>
      <c r="J21" s="73">
        <f>sumif('Game Stats'!$A:$A, $A21, 'Game Stats'!H:H)</f>
        <v>1</v>
      </c>
      <c r="K21" s="73">
        <f>sumif('Game Stats'!$A:$A, $A21, 'Game Stats'!I:I)</f>
        <v>0</v>
      </c>
      <c r="L21" s="46">
        <f>sumif('Game Stats'!$A:$A, $A21, 'Game Stats'!Q:Q)</f>
        <v>3</v>
      </c>
      <c r="M21" s="46">
        <f>sumif('Game Stats'!$A:$A, $A21, 'Game Stats'!J:J)</f>
        <v>4</v>
      </c>
      <c r="N21" s="46">
        <f>sumif('Game Stats'!$A:$A, $A21, 'Game Stats'!K:K)</f>
        <v>2</v>
      </c>
      <c r="O21" s="46">
        <f>sumif('Game Stats'!$A:$A, $A21, 'Game Stats'!N:N)</f>
        <v>0</v>
      </c>
      <c r="P21" s="73">
        <f>sumif('Game Stats'!$A:$A, $A21, 'Game Stats'!L:L)</f>
        <v>2</v>
      </c>
      <c r="Q21" s="73">
        <f>sumif('Game Stats'!$A:$A, $A21, 'Game Stats'!M:M)</f>
        <v>0</v>
      </c>
      <c r="R21" s="64">
        <f t="shared" si="3"/>
        <v>11</v>
      </c>
      <c r="S21" s="74">
        <f t="shared" si="4"/>
        <v>0.45</v>
      </c>
      <c r="T21" s="74">
        <f t="shared" si="5"/>
        <v>0.5</v>
      </c>
      <c r="U21" s="75">
        <f t="shared" si="6"/>
        <v>0.55</v>
      </c>
      <c r="V21" s="75">
        <f t="shared" si="7"/>
        <v>1.05</v>
      </c>
      <c r="W21" s="75">
        <f t="shared" si="8"/>
        <v>5.958333333</v>
      </c>
      <c r="X21" s="47">
        <f t="shared" si="9"/>
        <v>0.1538461538</v>
      </c>
      <c r="Y21" s="76">
        <f t="shared" si="10"/>
        <v>0.07692307692</v>
      </c>
      <c r="Z21" s="77">
        <f t="shared" si="11"/>
        <v>2</v>
      </c>
      <c r="AA21" s="64" t="str">
        <f t="shared" si="12"/>
        <v>-</v>
      </c>
      <c r="AB21" s="75">
        <f t="shared" si="13"/>
        <v>0.4373076923</v>
      </c>
      <c r="AC21" s="78">
        <f>if(D21=0, "-", sumif('Game Stats'!AD:AD, A21, 'Game Stats'!AC:AC))</f>
        <v>1</v>
      </c>
      <c r="AD21" s="79">
        <v>1.0</v>
      </c>
      <c r="AE21" s="80">
        <f t="shared" si="14"/>
        <v>0.75</v>
      </c>
      <c r="AF21" s="79">
        <v>0.0</v>
      </c>
      <c r="AG21" s="81">
        <f t="shared" si="15"/>
        <v>0.45</v>
      </c>
      <c r="AH21" s="81">
        <f t="shared" si="16"/>
        <v>0.1</v>
      </c>
      <c r="AI21" s="81">
        <f t="shared" si="17"/>
        <v>0</v>
      </c>
    </row>
    <row r="22" ht="15.75" customHeight="1">
      <c r="A22" s="4" t="s">
        <v>54</v>
      </c>
      <c r="B22" s="4"/>
      <c r="C22" s="4">
        <f t="shared" ref="C22:G22" si="18">sum(C3:C21)</f>
        <v>831</v>
      </c>
      <c r="D22" s="4">
        <f t="shared" si="18"/>
        <v>653</v>
      </c>
      <c r="E22" s="4">
        <f t="shared" si="18"/>
        <v>222</v>
      </c>
      <c r="F22" s="4">
        <f t="shared" si="18"/>
        <v>227</v>
      </c>
      <c r="G22" s="4">
        <f t="shared" si="18"/>
        <v>195</v>
      </c>
      <c r="H22" s="4">
        <f t="shared" si="2"/>
        <v>155</v>
      </c>
      <c r="I22" s="4">
        <f t="shared" ref="I22:Q22" si="19">sum(I3:I21)</f>
        <v>36</v>
      </c>
      <c r="J22" s="4">
        <f t="shared" si="19"/>
        <v>19</v>
      </c>
      <c r="K22" s="4">
        <f t="shared" si="19"/>
        <v>17</v>
      </c>
      <c r="L22" s="4">
        <f t="shared" si="19"/>
        <v>115</v>
      </c>
      <c r="M22" s="4">
        <f t="shared" si="19"/>
        <v>137</v>
      </c>
      <c r="N22" s="4">
        <f t="shared" si="19"/>
        <v>154</v>
      </c>
      <c r="O22" s="4">
        <f t="shared" si="19"/>
        <v>17</v>
      </c>
      <c r="P22" s="4">
        <f t="shared" si="19"/>
        <v>13</v>
      </c>
      <c r="Q22" s="4">
        <f t="shared" si="19"/>
        <v>11</v>
      </c>
      <c r="R22" s="4">
        <f t="shared" si="3"/>
        <v>352</v>
      </c>
      <c r="S22" s="33">
        <f>iferror(F22/D22, 0)</f>
        <v>0.34762634</v>
      </c>
      <c r="T22" s="33">
        <f>iferror((F22+M22+O22)/(D22+M22+O22+P22), 0)</f>
        <v>0.4646341463</v>
      </c>
      <c r="U22" s="33">
        <f>iferror(R22/D22, 0)</f>
        <v>0.539050536</v>
      </c>
      <c r="V22" s="33">
        <f>T22+U22</f>
        <v>1.003684682</v>
      </c>
      <c r="W22" s="33">
        <f>iferror(((F22+M22)*R22)/(D22+M22), 0)</f>
        <v>162.1873418</v>
      </c>
      <c r="X22" s="34">
        <f>iferror(M22/C22, 0)</f>
        <v>0.1648616125</v>
      </c>
      <c r="Y22" s="34">
        <f>iferror(N22/C22, 0)</f>
        <v>0.1853188929</v>
      </c>
      <c r="Z22" s="35">
        <f t="shared" si="11"/>
        <v>0.8896103896</v>
      </c>
      <c r="AA22" s="4">
        <f t="shared" si="12"/>
        <v>38.41176471</v>
      </c>
      <c r="AB22" s="33">
        <f>if(D22=0, "-", ((0.69*M22)+(0.72*O22)+(0.88*H22)+(1.24*I22)+(1.57*J22)+(2*K22))/(D22+M22+O22+P22))</f>
        <v>0.4288292683</v>
      </c>
      <c r="AC22" s="36">
        <f t="shared" ref="AC22:AD22" si="20">sum(AC3:AC21)</f>
        <v>147</v>
      </c>
      <c r="AD22" s="36">
        <f t="shared" si="20"/>
        <v>14</v>
      </c>
      <c r="AE22" s="37">
        <f t="shared" si="14"/>
        <v>0.8914728682</v>
      </c>
      <c r="AF22" s="36">
        <f>SUM(AF3:AF21)</f>
        <v>15</v>
      </c>
      <c r="AG22" s="38">
        <f t="shared" si="15"/>
        <v>0.4242424242</v>
      </c>
      <c r="AH22" s="38">
        <f t="shared" si="16"/>
        <v>0.191424196</v>
      </c>
      <c r="AI22" s="38">
        <f t="shared" si="17"/>
        <v>29.62121212</v>
      </c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41"/>
      <c r="AC23" s="41"/>
      <c r="AD23" s="41"/>
      <c r="AE23" s="41"/>
      <c r="AF23" s="41"/>
      <c r="AG23" s="41"/>
      <c r="AH23" s="41"/>
      <c r="AI23" s="41"/>
    </row>
    <row r="24" ht="15.75" customHeight="1">
      <c r="A24" s="1" t="s">
        <v>55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4"/>
      <c r="AB24" s="4"/>
      <c r="AC24" s="5"/>
      <c r="AD24" s="5"/>
      <c r="AE24" s="5"/>
      <c r="AF24" s="5"/>
      <c r="AG24" s="5"/>
      <c r="AH24" s="5"/>
      <c r="AI24" s="5"/>
    </row>
    <row r="25" ht="15.75" customHeight="1">
      <c r="A25" s="6" t="s">
        <v>0</v>
      </c>
      <c r="B25" s="6" t="s">
        <v>1</v>
      </c>
      <c r="C25" s="6" t="s">
        <v>56</v>
      </c>
      <c r="D25" s="6" t="s">
        <v>57</v>
      </c>
      <c r="E25" s="6" t="s">
        <v>58</v>
      </c>
      <c r="F25" s="6" t="s">
        <v>59</v>
      </c>
      <c r="G25" s="6" t="s">
        <v>60</v>
      </c>
      <c r="H25" s="6" t="s">
        <v>61</v>
      </c>
      <c r="I25" s="6" t="s">
        <v>62</v>
      </c>
      <c r="J25" s="6" t="s">
        <v>63</v>
      </c>
      <c r="K25" s="6" t="s">
        <v>64</v>
      </c>
      <c r="L25" s="6" t="s">
        <v>12</v>
      </c>
      <c r="M25" s="6" t="s">
        <v>13</v>
      </c>
      <c r="N25" s="6" t="s">
        <v>10</v>
      </c>
      <c r="O25" s="6" t="s">
        <v>65</v>
      </c>
      <c r="P25" s="6" t="s">
        <v>66</v>
      </c>
      <c r="Q25" s="6" t="s">
        <v>67</v>
      </c>
      <c r="R25" s="6" t="s">
        <v>68</v>
      </c>
      <c r="S25" s="6" t="s">
        <v>69</v>
      </c>
      <c r="T25" s="6" t="s">
        <v>70</v>
      </c>
      <c r="U25" s="6" t="s">
        <v>71</v>
      </c>
      <c r="V25" s="6" t="s">
        <v>72</v>
      </c>
      <c r="W25" s="6" t="s">
        <v>73</v>
      </c>
      <c r="X25" s="42" t="s">
        <v>74</v>
      </c>
      <c r="Y25" s="6" t="s">
        <v>75</v>
      </c>
      <c r="Z25" s="6" t="s">
        <v>25</v>
      </c>
      <c r="AA25" s="8" t="s">
        <v>31</v>
      </c>
      <c r="AB25" s="44"/>
      <c r="AC25" s="44"/>
      <c r="AD25" s="44"/>
      <c r="AE25" s="44"/>
      <c r="AF25" s="44"/>
      <c r="AG25" s="44"/>
      <c r="AH25" s="44"/>
      <c r="AI25" s="44"/>
    </row>
    <row r="26" ht="15.75" customHeight="1">
      <c r="A26" s="45" t="s">
        <v>76</v>
      </c>
      <c r="B26" s="84">
        <f>COUNTIF('Game Stats'!R:R, A26)</f>
        <v>3</v>
      </c>
      <c r="C26" s="85">
        <f t="shared" ref="C26:C38" si="21">IF((O26+P26)=0, "-", O26/(O26+P26))</f>
        <v>1</v>
      </c>
      <c r="D26" s="84">
        <v>1.0</v>
      </c>
      <c r="E26" s="84">
        <v>0.0</v>
      </c>
      <c r="F26" s="84">
        <v>6.0</v>
      </c>
      <c r="G26" s="84">
        <v>0.0</v>
      </c>
      <c r="H26" s="84">
        <f t="shared" ref="H26:H38" si="22">F26+ifs(G26=1/3, 0.1, G26=2/3, 0.2, G26=0, 0)</f>
        <v>6</v>
      </c>
      <c r="I26" s="84">
        <f>sumif('Game Stats'!$R:$R, $A26, 'Game Stats'!T:T)</f>
        <v>3</v>
      </c>
      <c r="J26" s="84">
        <f>sumif('Game Stats'!$R:$R, $A26, 'Game Stats'!U:U)</f>
        <v>3</v>
      </c>
      <c r="K26" s="84">
        <f>sumif('Game Stats'!$R:$R, $A26, 'Game Stats'!V:V)</f>
        <v>3</v>
      </c>
      <c r="L26" s="84">
        <f>sumif('Game Stats'!$R:$R, $A26, 'Game Stats'!W:W)</f>
        <v>5</v>
      </c>
      <c r="M26" s="84">
        <f>sumif('Game Stats'!$R:$R, $A26, 'Game Stats'!X:X)</f>
        <v>3</v>
      </c>
      <c r="N26" s="84">
        <f>sumif('Game Stats'!$R:$R, $A26, 'Game Stats'!Y:Y)</f>
        <v>0</v>
      </c>
      <c r="O26" s="84">
        <v>1.0</v>
      </c>
      <c r="P26" s="84">
        <v>0.0</v>
      </c>
      <c r="Q26" s="84">
        <v>0.0</v>
      </c>
      <c r="R26" s="84">
        <v>0.0</v>
      </c>
      <c r="S26" s="49">
        <f t="shared" ref="S26:S38" si="23">if(F26=0, "-", (L26+I26)/(F26+G26))</f>
        <v>1.333333333</v>
      </c>
      <c r="T26" s="49">
        <f t="shared" ref="T26:T38" si="24">if(F26=0, "-", (K26/(F26+G26))*7)</f>
        <v>3.5</v>
      </c>
      <c r="U26" s="50">
        <f t="shared" ref="U26:U38" si="25">if(F26=0, "-", 7*(I26/(F26+G26)))</f>
        <v>3.5</v>
      </c>
      <c r="V26" s="49">
        <f t="shared" ref="V26:V38" si="26">if(F26=0, "-", 7*(L26/(F26+G26)))</f>
        <v>5.833333333</v>
      </c>
      <c r="W26" s="49">
        <f t="shared" ref="W26:W38" si="27">if(F26=0, "-", 7*(M26/(F26+G26)))</f>
        <v>3.5</v>
      </c>
      <c r="X26" s="51">
        <f t="shared" ref="X26:X38" si="28">if(F26=0, "-", 9*(M26/(F26+G26)))</f>
        <v>4.5</v>
      </c>
      <c r="Y26" s="49">
        <f t="shared" ref="Y26:Y38" si="29">if(F26=0, "-", 7*(N26/(F26+G26)))</f>
        <v>0</v>
      </c>
      <c r="Z26" s="74">
        <f t="shared" ref="Z26:Z38" si="30">if(M26=0,"-", L26/M26)</f>
        <v>1.666666667</v>
      </c>
      <c r="AA26" s="53">
        <v>0.0</v>
      </c>
      <c r="AB26" s="54"/>
      <c r="AC26" s="54"/>
      <c r="AD26" s="54"/>
      <c r="AE26" s="54"/>
      <c r="AF26" s="54"/>
      <c r="AG26" s="54"/>
      <c r="AH26" s="54"/>
      <c r="AI26" s="54"/>
    </row>
    <row r="27" ht="15.75" customHeight="1">
      <c r="A27" s="45" t="s">
        <v>38</v>
      </c>
      <c r="B27" s="86">
        <f>COUNTIF('Game Stats'!R:R, A27)</f>
        <v>0</v>
      </c>
      <c r="C27" s="56" t="str">
        <f t="shared" si="21"/>
        <v>-</v>
      </c>
      <c r="D27" s="87">
        <v>0.0</v>
      </c>
      <c r="E27" s="87">
        <v>0.0</v>
      </c>
      <c r="F27" s="87">
        <v>0.0</v>
      </c>
      <c r="G27" s="87">
        <v>0.0</v>
      </c>
      <c r="H27" s="84">
        <f t="shared" si="22"/>
        <v>0</v>
      </c>
      <c r="I27" s="86">
        <f>sumif('Game Stats'!$R:$R, $A27, 'Game Stats'!T:T)</f>
        <v>0</v>
      </c>
      <c r="J27" s="86">
        <f>sumif('Game Stats'!$R:$R, $A27, 'Game Stats'!U:U)</f>
        <v>0</v>
      </c>
      <c r="K27" s="86">
        <f>sumif('Game Stats'!$R:$R, $A27, 'Game Stats'!V:V)</f>
        <v>0</v>
      </c>
      <c r="L27" s="86">
        <f>sumif('Game Stats'!$R:$R, $A27, 'Game Stats'!W:W)</f>
        <v>0</v>
      </c>
      <c r="M27" s="86">
        <f>sumif('Game Stats'!$R:$R, $A27, 'Game Stats'!X:X)</f>
        <v>0</v>
      </c>
      <c r="N27" s="86">
        <f>sumif('Game Stats'!$R:$R, $A27, 'Game Stats'!Y:Y)</f>
        <v>0</v>
      </c>
      <c r="O27" s="87">
        <v>0.0</v>
      </c>
      <c r="P27" s="87">
        <v>0.0</v>
      </c>
      <c r="Q27" s="87">
        <v>0.0</v>
      </c>
      <c r="R27" s="87">
        <v>0.0</v>
      </c>
      <c r="S27" s="58" t="str">
        <f t="shared" si="23"/>
        <v>-</v>
      </c>
      <c r="T27" s="58" t="str">
        <f t="shared" si="24"/>
        <v>-</v>
      </c>
      <c r="U27" s="59" t="str">
        <f t="shared" si="25"/>
        <v>-</v>
      </c>
      <c r="V27" s="58" t="str">
        <f t="shared" si="26"/>
        <v>-</v>
      </c>
      <c r="W27" s="58" t="str">
        <f t="shared" si="27"/>
        <v>-</v>
      </c>
      <c r="X27" s="60" t="str">
        <f t="shared" si="28"/>
        <v>-</v>
      </c>
      <c r="Y27" s="58" t="str">
        <f t="shared" si="29"/>
        <v>-</v>
      </c>
      <c r="Z27" s="58" t="str">
        <f t="shared" si="30"/>
        <v>-</v>
      </c>
      <c r="AA27" s="88">
        <v>0.0</v>
      </c>
      <c r="AB27" s="62"/>
      <c r="AC27" s="62"/>
      <c r="AD27" s="62"/>
      <c r="AE27" s="62"/>
      <c r="AF27" s="62"/>
      <c r="AG27" s="62"/>
      <c r="AH27" s="62"/>
      <c r="AI27" s="62"/>
    </row>
    <row r="28" ht="15.75" customHeight="1">
      <c r="A28" s="45" t="s">
        <v>77</v>
      </c>
      <c r="B28" s="84">
        <f>COUNTIF('Game Stats'!R:R, A28)</f>
        <v>8</v>
      </c>
      <c r="C28" s="85">
        <f t="shared" si="21"/>
        <v>1</v>
      </c>
      <c r="D28" s="46">
        <v>7.0</v>
      </c>
      <c r="E28" s="46">
        <v>1.0</v>
      </c>
      <c r="F28" s="46">
        <v>44.0</v>
      </c>
      <c r="G28" s="46">
        <v>0.0</v>
      </c>
      <c r="H28" s="84">
        <f t="shared" si="22"/>
        <v>44</v>
      </c>
      <c r="I28" s="84">
        <f>sumif('Game Stats'!$R:$R, $A28, 'Game Stats'!T:T)</f>
        <v>33</v>
      </c>
      <c r="J28" s="84">
        <f>sumif('Game Stats'!$R:$R, $A28, 'Game Stats'!U:U)</f>
        <v>17</v>
      </c>
      <c r="K28" s="84">
        <f>sumif('Game Stats'!$R:$R, $A28, 'Game Stats'!V:V)</f>
        <v>12</v>
      </c>
      <c r="L28" s="84">
        <f>sumif('Game Stats'!$R:$R, $A28, 'Game Stats'!W:W)</f>
        <v>20</v>
      </c>
      <c r="M28" s="84">
        <f>sumif('Game Stats'!$R:$R, $A28, 'Game Stats'!X:X)</f>
        <v>34</v>
      </c>
      <c r="N28" s="84">
        <f>sumif('Game Stats'!$R:$R, $A28, 'Game Stats'!Y:Y)</f>
        <v>1</v>
      </c>
      <c r="O28" s="46">
        <v>6.0</v>
      </c>
      <c r="P28" s="73">
        <v>0.0</v>
      </c>
      <c r="Q28" s="73">
        <v>0.0</v>
      </c>
      <c r="R28" s="46">
        <v>1.0</v>
      </c>
      <c r="S28" s="49">
        <f t="shared" si="23"/>
        <v>1.204545455</v>
      </c>
      <c r="T28" s="49">
        <f t="shared" si="24"/>
        <v>1.909090909</v>
      </c>
      <c r="U28" s="50">
        <f t="shared" si="25"/>
        <v>5.25</v>
      </c>
      <c r="V28" s="49">
        <f t="shared" si="26"/>
        <v>3.181818182</v>
      </c>
      <c r="W28" s="49">
        <f t="shared" si="27"/>
        <v>5.409090909</v>
      </c>
      <c r="X28" s="51">
        <f t="shared" si="28"/>
        <v>6.954545455</v>
      </c>
      <c r="Y28" s="49">
        <f t="shared" si="29"/>
        <v>0.1590909091</v>
      </c>
      <c r="Z28" s="49">
        <f t="shared" si="30"/>
        <v>0.5882352941</v>
      </c>
      <c r="AA28" s="89">
        <v>1.0</v>
      </c>
      <c r="AB28" s="64"/>
      <c r="AC28" s="64"/>
      <c r="AD28" s="65"/>
      <c r="AE28" s="65"/>
      <c r="AF28" s="65"/>
      <c r="AG28" s="65"/>
      <c r="AH28" s="65"/>
      <c r="AI28" s="65"/>
    </row>
    <row r="29" ht="15.75" customHeight="1">
      <c r="A29" s="45" t="s">
        <v>78</v>
      </c>
      <c r="B29" s="86">
        <f>COUNTIF('Game Stats'!R:R, A29)</f>
        <v>5</v>
      </c>
      <c r="C29" s="56">
        <f t="shared" si="21"/>
        <v>1</v>
      </c>
      <c r="D29" s="87">
        <v>0.0</v>
      </c>
      <c r="E29" s="87">
        <v>0.0</v>
      </c>
      <c r="F29" s="87">
        <v>9.0</v>
      </c>
      <c r="G29" s="87">
        <f>1/3</f>
        <v>0.3333333333</v>
      </c>
      <c r="H29" s="84">
        <f t="shared" si="22"/>
        <v>9.1</v>
      </c>
      <c r="I29" s="86">
        <f>sumif('Game Stats'!$R:$R, $A29, 'Game Stats'!T:T)</f>
        <v>7</v>
      </c>
      <c r="J29" s="86">
        <f>sumif('Game Stats'!$R:$R, $A29, 'Game Stats'!U:U)</f>
        <v>4</v>
      </c>
      <c r="K29" s="86">
        <f>sumif('Game Stats'!$R:$R, $A29, 'Game Stats'!V:V)</f>
        <v>2</v>
      </c>
      <c r="L29" s="86">
        <f>sumif('Game Stats'!$R:$R, $A29, 'Game Stats'!W:W)</f>
        <v>9</v>
      </c>
      <c r="M29" s="86">
        <f>sumif('Game Stats'!$R:$R, $A29, 'Game Stats'!X:X)</f>
        <v>4</v>
      </c>
      <c r="N29" s="86">
        <f>sumif('Game Stats'!$R:$R, $A29, 'Game Stats'!Y:Y)</f>
        <v>0</v>
      </c>
      <c r="O29" s="87">
        <v>2.0</v>
      </c>
      <c r="P29" s="90">
        <v>0.0</v>
      </c>
      <c r="Q29" s="87">
        <v>1.0</v>
      </c>
      <c r="R29" s="90">
        <v>0.0</v>
      </c>
      <c r="S29" s="58">
        <f t="shared" si="23"/>
        <v>1.714285714</v>
      </c>
      <c r="T29" s="58">
        <f t="shared" si="24"/>
        <v>1.5</v>
      </c>
      <c r="U29" s="59">
        <f t="shared" si="25"/>
        <v>5.25</v>
      </c>
      <c r="V29" s="58">
        <f t="shared" si="26"/>
        <v>6.75</v>
      </c>
      <c r="W29" s="58">
        <f t="shared" si="27"/>
        <v>3</v>
      </c>
      <c r="X29" s="60">
        <f t="shared" si="28"/>
        <v>3.857142857</v>
      </c>
      <c r="Y29" s="58">
        <f t="shared" si="29"/>
        <v>0</v>
      </c>
      <c r="Z29" s="58">
        <f t="shared" si="30"/>
        <v>2.25</v>
      </c>
      <c r="AA29" s="88">
        <v>0.0</v>
      </c>
      <c r="AB29" s="62"/>
      <c r="AC29" s="62"/>
      <c r="AD29" s="62"/>
      <c r="AE29" s="62"/>
      <c r="AF29" s="62"/>
      <c r="AG29" s="62"/>
      <c r="AH29" s="62"/>
      <c r="AI29" s="62"/>
    </row>
    <row r="30" ht="15.75" customHeight="1">
      <c r="A30" s="45" t="s">
        <v>79</v>
      </c>
      <c r="B30" s="84">
        <f>COUNTIF('Game Stats'!R:R, A30)</f>
        <v>6</v>
      </c>
      <c r="C30" s="85">
        <f t="shared" si="21"/>
        <v>1</v>
      </c>
      <c r="D30" s="46">
        <v>0.0</v>
      </c>
      <c r="E30" s="73">
        <v>0.0</v>
      </c>
      <c r="F30" s="46">
        <v>9.0</v>
      </c>
      <c r="G30" s="46">
        <f t="shared" ref="G30:G31" si="31">2/3</f>
        <v>0.6666666667</v>
      </c>
      <c r="H30" s="84">
        <f t="shared" si="22"/>
        <v>9.2</v>
      </c>
      <c r="I30" s="84">
        <f>sumif('Game Stats'!$R:$R, $A30, 'Game Stats'!T:T)</f>
        <v>7</v>
      </c>
      <c r="J30" s="84">
        <f>sumif('Game Stats'!$R:$R, $A30, 'Game Stats'!U:U)</f>
        <v>7</v>
      </c>
      <c r="K30" s="84">
        <f>sumif('Game Stats'!$R:$R, $A30, 'Game Stats'!V:V)</f>
        <v>6</v>
      </c>
      <c r="L30" s="84">
        <f>sumif('Game Stats'!$R:$R, $A30, 'Game Stats'!W:W)</f>
        <v>10</v>
      </c>
      <c r="M30" s="84">
        <f>sumif('Game Stats'!$R:$R, $A30, 'Game Stats'!X:X)</f>
        <v>10</v>
      </c>
      <c r="N30" s="84">
        <f>sumif('Game Stats'!$R:$R, $A30, 'Game Stats'!Y:Y)</f>
        <v>2</v>
      </c>
      <c r="O30" s="46">
        <v>1.0</v>
      </c>
      <c r="P30" s="73">
        <v>0.0</v>
      </c>
      <c r="Q30" s="46">
        <v>1.0</v>
      </c>
      <c r="R30" s="73">
        <v>0.0</v>
      </c>
      <c r="S30" s="49">
        <f t="shared" si="23"/>
        <v>1.75862069</v>
      </c>
      <c r="T30" s="49">
        <f t="shared" si="24"/>
        <v>4.344827586</v>
      </c>
      <c r="U30" s="50">
        <f t="shared" si="25"/>
        <v>5.068965517</v>
      </c>
      <c r="V30" s="49">
        <f t="shared" si="26"/>
        <v>7.24137931</v>
      </c>
      <c r="W30" s="49">
        <f t="shared" si="27"/>
        <v>7.24137931</v>
      </c>
      <c r="X30" s="51">
        <f t="shared" si="28"/>
        <v>9.310344828</v>
      </c>
      <c r="Y30" s="49">
        <f t="shared" si="29"/>
        <v>1.448275862</v>
      </c>
      <c r="Z30" s="49">
        <f t="shared" si="30"/>
        <v>1</v>
      </c>
      <c r="AA30" s="89">
        <v>0.0</v>
      </c>
      <c r="AB30" s="64"/>
      <c r="AC30" s="64"/>
      <c r="AD30" s="65"/>
      <c r="AE30" s="65"/>
      <c r="AF30" s="65"/>
      <c r="AG30" s="65"/>
      <c r="AH30" s="65"/>
      <c r="AI30" s="65"/>
    </row>
    <row r="31" ht="15.75" customHeight="1">
      <c r="A31" s="45" t="s">
        <v>80</v>
      </c>
      <c r="B31" s="86">
        <f>COUNTIF('Game Stats'!R:R, A31)</f>
        <v>7</v>
      </c>
      <c r="C31" s="56">
        <f t="shared" si="21"/>
        <v>1</v>
      </c>
      <c r="D31" s="87">
        <v>0.0</v>
      </c>
      <c r="E31" s="87">
        <v>0.0</v>
      </c>
      <c r="F31" s="87">
        <v>7.0</v>
      </c>
      <c r="G31" s="87">
        <f t="shared" si="31"/>
        <v>0.6666666667</v>
      </c>
      <c r="H31" s="84">
        <f t="shared" si="22"/>
        <v>7.2</v>
      </c>
      <c r="I31" s="86">
        <f>sumif('Game Stats'!$R:$R, $A31, 'Game Stats'!T:T)</f>
        <v>8</v>
      </c>
      <c r="J31" s="86">
        <f>sumif('Game Stats'!$R:$R, $A31, 'Game Stats'!U:U)</f>
        <v>8</v>
      </c>
      <c r="K31" s="86">
        <f>sumif('Game Stats'!$R:$R, $A31, 'Game Stats'!V:V)</f>
        <v>8</v>
      </c>
      <c r="L31" s="86">
        <f>sumif('Game Stats'!$R:$R, $A31, 'Game Stats'!W:W)</f>
        <v>5</v>
      </c>
      <c r="M31" s="86">
        <f>sumif('Game Stats'!$R:$R, $A31, 'Game Stats'!X:X)</f>
        <v>7</v>
      </c>
      <c r="N31" s="86">
        <f>sumif('Game Stats'!$R:$R, $A31, 'Game Stats'!Y:Y)</f>
        <v>0</v>
      </c>
      <c r="O31" s="87">
        <v>2.0</v>
      </c>
      <c r="P31" s="87">
        <v>0.0</v>
      </c>
      <c r="Q31" s="87">
        <v>2.0</v>
      </c>
      <c r="R31" s="87">
        <v>0.0</v>
      </c>
      <c r="S31" s="58">
        <f t="shared" si="23"/>
        <v>1.695652174</v>
      </c>
      <c r="T31" s="58">
        <f t="shared" si="24"/>
        <v>7.304347826</v>
      </c>
      <c r="U31" s="59">
        <f t="shared" si="25"/>
        <v>7.304347826</v>
      </c>
      <c r="V31" s="58">
        <f t="shared" si="26"/>
        <v>4.565217391</v>
      </c>
      <c r="W31" s="58">
        <f t="shared" si="27"/>
        <v>6.391304348</v>
      </c>
      <c r="X31" s="60">
        <f t="shared" si="28"/>
        <v>8.217391304</v>
      </c>
      <c r="Y31" s="58">
        <f t="shared" si="29"/>
        <v>0</v>
      </c>
      <c r="Z31" s="58">
        <f t="shared" si="30"/>
        <v>0.7142857143</v>
      </c>
      <c r="AA31" s="88">
        <v>0.0</v>
      </c>
      <c r="AB31" s="62"/>
      <c r="AC31" s="62"/>
      <c r="AD31" s="62"/>
      <c r="AE31" s="62"/>
      <c r="AF31" s="62"/>
      <c r="AG31" s="62"/>
      <c r="AH31" s="62"/>
      <c r="AI31" s="62"/>
    </row>
    <row r="32" ht="15.75" customHeight="1">
      <c r="A32" s="45" t="s">
        <v>81</v>
      </c>
      <c r="B32" s="84">
        <f>COUNTIF('Game Stats'!R:R, A32)</f>
        <v>5</v>
      </c>
      <c r="C32" s="85">
        <f t="shared" si="21"/>
        <v>0</v>
      </c>
      <c r="D32" s="91">
        <v>0.0</v>
      </c>
      <c r="E32" s="91">
        <v>0.0</v>
      </c>
      <c r="F32" s="92">
        <v>4.0</v>
      </c>
      <c r="G32" s="91">
        <f t="shared" ref="G32:G33" si="32">1/3</f>
        <v>0.3333333333</v>
      </c>
      <c r="H32" s="84">
        <f t="shared" si="22"/>
        <v>4.1</v>
      </c>
      <c r="I32" s="84">
        <f>sumif('Game Stats'!$R:$R, $A32, 'Game Stats'!T:T)</f>
        <v>4</v>
      </c>
      <c r="J32" s="84">
        <f>sumif('Game Stats'!$R:$R, $A32, 'Game Stats'!U:U)</f>
        <v>11</v>
      </c>
      <c r="K32" s="84">
        <f>sumif('Game Stats'!$R:$R, $A32, 'Game Stats'!V:V)</f>
        <v>8</v>
      </c>
      <c r="L32" s="84">
        <f>sumif('Game Stats'!$R:$R, $A32, 'Game Stats'!W:W)</f>
        <v>10</v>
      </c>
      <c r="M32" s="84">
        <f>sumif('Game Stats'!$R:$R, $A32, 'Game Stats'!X:X)</f>
        <v>4</v>
      </c>
      <c r="N32" s="84">
        <f>sumif('Game Stats'!$R:$R, $A32, 'Game Stats'!Y:Y)</f>
        <v>0</v>
      </c>
      <c r="O32" s="92">
        <v>0.0</v>
      </c>
      <c r="P32" s="92">
        <v>2.0</v>
      </c>
      <c r="Q32" s="91">
        <v>0.0</v>
      </c>
      <c r="R32" s="91">
        <v>0.0</v>
      </c>
      <c r="S32" s="49">
        <f t="shared" si="23"/>
        <v>3.230769231</v>
      </c>
      <c r="T32" s="49">
        <f t="shared" si="24"/>
        <v>12.92307692</v>
      </c>
      <c r="U32" s="50">
        <f t="shared" si="25"/>
        <v>6.461538462</v>
      </c>
      <c r="V32" s="49">
        <f t="shared" si="26"/>
        <v>16.15384615</v>
      </c>
      <c r="W32" s="49">
        <f t="shared" si="27"/>
        <v>6.461538462</v>
      </c>
      <c r="X32" s="51">
        <f t="shared" si="28"/>
        <v>8.307692308</v>
      </c>
      <c r="Y32" s="49">
        <f t="shared" si="29"/>
        <v>0</v>
      </c>
      <c r="Z32" s="49">
        <f t="shared" si="30"/>
        <v>2.5</v>
      </c>
      <c r="AA32" s="53">
        <v>0.0</v>
      </c>
      <c r="AB32" s="54"/>
      <c r="AC32" s="54"/>
      <c r="AD32" s="54"/>
      <c r="AE32" s="54"/>
      <c r="AF32" s="54"/>
      <c r="AG32" s="54"/>
      <c r="AH32" s="54"/>
      <c r="AI32" s="54"/>
    </row>
    <row r="33" ht="15.75" customHeight="1">
      <c r="A33" s="45" t="s">
        <v>48</v>
      </c>
      <c r="B33" s="86">
        <f>COUNTIF('Game Stats'!R:R, A33)</f>
        <v>3</v>
      </c>
      <c r="C33" s="56" t="str">
        <f t="shared" si="21"/>
        <v>-</v>
      </c>
      <c r="D33" s="87">
        <v>1.0</v>
      </c>
      <c r="E33" s="87">
        <v>0.0</v>
      </c>
      <c r="F33" s="87">
        <v>4.0</v>
      </c>
      <c r="G33" s="87">
        <f t="shared" si="32"/>
        <v>0.3333333333</v>
      </c>
      <c r="H33" s="84">
        <f t="shared" si="22"/>
        <v>4.1</v>
      </c>
      <c r="I33" s="86">
        <f>sumif('Game Stats'!$R:$R, $A33, 'Game Stats'!T:T)</f>
        <v>8</v>
      </c>
      <c r="J33" s="86">
        <f>sumif('Game Stats'!$R:$R, $A33, 'Game Stats'!U:U)</f>
        <v>7</v>
      </c>
      <c r="K33" s="86">
        <f>sumif('Game Stats'!$R:$R, $A33, 'Game Stats'!V:V)</f>
        <v>7</v>
      </c>
      <c r="L33" s="86">
        <f>sumif('Game Stats'!$R:$R, $A33, 'Game Stats'!W:W)</f>
        <v>5</v>
      </c>
      <c r="M33" s="86">
        <f>sumif('Game Stats'!$R:$R, $A33, 'Game Stats'!X:X)</f>
        <v>4</v>
      </c>
      <c r="N33" s="86">
        <f>sumif('Game Stats'!$R:$R, $A33, 'Game Stats'!Y:Y)</f>
        <v>0</v>
      </c>
      <c r="O33" s="87">
        <v>0.0</v>
      </c>
      <c r="P33" s="87">
        <v>0.0</v>
      </c>
      <c r="Q33" s="87">
        <v>0.0</v>
      </c>
      <c r="R33" s="87">
        <v>0.0</v>
      </c>
      <c r="S33" s="58">
        <f t="shared" si="23"/>
        <v>3</v>
      </c>
      <c r="T33" s="58">
        <f t="shared" si="24"/>
        <v>11.30769231</v>
      </c>
      <c r="U33" s="59">
        <f t="shared" si="25"/>
        <v>12.92307692</v>
      </c>
      <c r="V33" s="58">
        <f t="shared" si="26"/>
        <v>8.076923077</v>
      </c>
      <c r="W33" s="58">
        <f t="shared" si="27"/>
        <v>6.461538462</v>
      </c>
      <c r="X33" s="60">
        <f t="shared" si="28"/>
        <v>8.307692308</v>
      </c>
      <c r="Y33" s="58">
        <f t="shared" si="29"/>
        <v>0</v>
      </c>
      <c r="Z33" s="58">
        <f t="shared" si="30"/>
        <v>1.25</v>
      </c>
      <c r="AA33" s="88">
        <v>0.0</v>
      </c>
      <c r="AB33" s="62"/>
      <c r="AC33" s="62"/>
      <c r="AD33" s="62"/>
      <c r="AE33" s="62"/>
      <c r="AF33" s="62"/>
      <c r="AG33" s="62"/>
      <c r="AH33" s="62"/>
      <c r="AI33" s="62"/>
    </row>
    <row r="34" ht="15.75" customHeight="1">
      <c r="A34" s="45" t="s">
        <v>49</v>
      </c>
      <c r="B34" s="84">
        <f>COUNTIF('Game Stats'!R:R, A34)</f>
        <v>7</v>
      </c>
      <c r="C34" s="85">
        <f t="shared" si="21"/>
        <v>1</v>
      </c>
      <c r="D34" s="46">
        <v>6.0</v>
      </c>
      <c r="E34" s="46">
        <v>1.0</v>
      </c>
      <c r="F34" s="46">
        <v>27.0</v>
      </c>
      <c r="G34" s="73">
        <v>0.0</v>
      </c>
      <c r="H34" s="84">
        <f t="shared" si="22"/>
        <v>27</v>
      </c>
      <c r="I34" s="84">
        <f>sumif('Game Stats'!$R:$R, $A34, 'Game Stats'!T:T)</f>
        <v>14</v>
      </c>
      <c r="J34" s="84">
        <f>sumif('Game Stats'!$R:$R, $A34, 'Game Stats'!U:U)</f>
        <v>11</v>
      </c>
      <c r="K34" s="84">
        <f>sumif('Game Stats'!$R:$R, $A34, 'Game Stats'!V:V)</f>
        <v>9</v>
      </c>
      <c r="L34" s="84">
        <f>sumif('Game Stats'!$R:$R, $A34, 'Game Stats'!W:W)</f>
        <v>15</v>
      </c>
      <c r="M34" s="84">
        <f>sumif('Game Stats'!$R:$R, $A34, 'Game Stats'!X:X)</f>
        <v>28</v>
      </c>
      <c r="N34" s="84">
        <f>sumif('Game Stats'!$R:$R, $A34, 'Game Stats'!Y:Y)</f>
        <v>0</v>
      </c>
      <c r="O34" s="46">
        <v>4.0</v>
      </c>
      <c r="P34" s="46">
        <v>0.0</v>
      </c>
      <c r="Q34" s="73">
        <v>0.0</v>
      </c>
      <c r="R34" s="46">
        <v>1.0</v>
      </c>
      <c r="S34" s="49">
        <f t="shared" si="23"/>
        <v>1.074074074</v>
      </c>
      <c r="T34" s="49">
        <f t="shared" si="24"/>
        <v>2.333333333</v>
      </c>
      <c r="U34" s="50">
        <f t="shared" si="25"/>
        <v>3.62962963</v>
      </c>
      <c r="V34" s="49">
        <f t="shared" si="26"/>
        <v>3.888888889</v>
      </c>
      <c r="W34" s="49">
        <f t="shared" si="27"/>
        <v>7.259259259</v>
      </c>
      <c r="X34" s="51">
        <f t="shared" si="28"/>
        <v>9.333333333</v>
      </c>
      <c r="Y34" s="49">
        <f t="shared" si="29"/>
        <v>0</v>
      </c>
      <c r="Z34" s="49">
        <f t="shared" si="30"/>
        <v>0.5357142857</v>
      </c>
      <c r="AA34" s="89">
        <v>1.0</v>
      </c>
      <c r="AB34" s="64"/>
      <c r="AC34" s="64"/>
      <c r="AD34" s="65"/>
      <c r="AE34" s="65"/>
      <c r="AF34" s="65"/>
      <c r="AG34" s="65"/>
      <c r="AH34" s="65"/>
      <c r="AI34" s="65"/>
    </row>
    <row r="35" ht="15.75" customHeight="1">
      <c r="A35" s="45" t="s">
        <v>50</v>
      </c>
      <c r="B35" s="86">
        <f>COUNTIF('Game Stats'!R:R, A35)</f>
        <v>3</v>
      </c>
      <c r="C35" s="56" t="str">
        <f t="shared" si="21"/>
        <v>-</v>
      </c>
      <c r="D35" s="90">
        <v>0.0</v>
      </c>
      <c r="E35" s="90">
        <v>0.0</v>
      </c>
      <c r="F35" s="87">
        <v>3.0</v>
      </c>
      <c r="G35" s="90">
        <v>0.0</v>
      </c>
      <c r="H35" s="84">
        <f t="shared" si="22"/>
        <v>3</v>
      </c>
      <c r="I35" s="86">
        <f>sumif('Game Stats'!$R:$R, $A35, 'Game Stats'!T:T)</f>
        <v>1</v>
      </c>
      <c r="J35" s="86">
        <f>sumif('Game Stats'!$R:$R, $A35, 'Game Stats'!U:U)</f>
        <v>0</v>
      </c>
      <c r="K35" s="86">
        <f>sumif('Game Stats'!$R:$R, $A35, 'Game Stats'!V:V)</f>
        <v>0</v>
      </c>
      <c r="L35" s="86">
        <f>sumif('Game Stats'!$R:$R, $A35, 'Game Stats'!W:W)</f>
        <v>2</v>
      </c>
      <c r="M35" s="86">
        <f>sumif('Game Stats'!$R:$R, $A35, 'Game Stats'!X:X)</f>
        <v>1</v>
      </c>
      <c r="N35" s="86">
        <f>sumif('Game Stats'!$R:$R, $A35, 'Game Stats'!Y:Y)</f>
        <v>0</v>
      </c>
      <c r="O35" s="87">
        <v>0.0</v>
      </c>
      <c r="P35" s="90">
        <v>0.0</v>
      </c>
      <c r="Q35" s="87">
        <v>2.0</v>
      </c>
      <c r="R35" s="90">
        <v>0.0</v>
      </c>
      <c r="S35" s="58">
        <f t="shared" si="23"/>
        <v>1</v>
      </c>
      <c r="T35" s="58">
        <f t="shared" si="24"/>
        <v>0</v>
      </c>
      <c r="U35" s="59">
        <f t="shared" si="25"/>
        <v>2.333333333</v>
      </c>
      <c r="V35" s="58">
        <f t="shared" si="26"/>
        <v>4.666666667</v>
      </c>
      <c r="W35" s="58">
        <f t="shared" si="27"/>
        <v>2.333333333</v>
      </c>
      <c r="X35" s="60">
        <f t="shared" si="28"/>
        <v>3</v>
      </c>
      <c r="Y35" s="58">
        <f t="shared" si="29"/>
        <v>0</v>
      </c>
      <c r="Z35" s="58">
        <f t="shared" si="30"/>
        <v>2</v>
      </c>
      <c r="AA35" s="88">
        <v>0.0</v>
      </c>
      <c r="AB35" s="62"/>
      <c r="AC35" s="62"/>
      <c r="AD35" s="62"/>
      <c r="AE35" s="62"/>
      <c r="AF35" s="62"/>
      <c r="AG35" s="62"/>
      <c r="AH35" s="62"/>
      <c r="AI35" s="62"/>
    </row>
    <row r="36" ht="15.75" customHeight="1">
      <c r="A36" s="45" t="s">
        <v>82</v>
      </c>
      <c r="B36" s="84">
        <f>COUNTIF('Game Stats'!R:R, A36)</f>
        <v>3</v>
      </c>
      <c r="C36" s="85">
        <f t="shared" si="21"/>
        <v>1</v>
      </c>
      <c r="D36" s="46">
        <v>3.0</v>
      </c>
      <c r="E36" s="46">
        <v>0.0</v>
      </c>
      <c r="F36" s="46">
        <v>13.0</v>
      </c>
      <c r="G36" s="46">
        <f>1/3</f>
        <v>0.3333333333</v>
      </c>
      <c r="H36" s="84">
        <f t="shared" si="22"/>
        <v>13.1</v>
      </c>
      <c r="I36" s="84">
        <f>sumif('Game Stats'!$R:$R, $A36, 'Game Stats'!T:T)</f>
        <v>6</v>
      </c>
      <c r="J36" s="84">
        <f>sumif('Game Stats'!$R:$R, $A36, 'Game Stats'!U:U)</f>
        <v>2</v>
      </c>
      <c r="K36" s="84">
        <f>sumif('Game Stats'!$R:$R, $A36, 'Game Stats'!V:V)</f>
        <v>0</v>
      </c>
      <c r="L36" s="84">
        <f>sumif('Game Stats'!$R:$R, $A36, 'Game Stats'!W:W)</f>
        <v>2</v>
      </c>
      <c r="M36" s="84">
        <f>sumif('Game Stats'!$R:$R, $A36, 'Game Stats'!X:X)</f>
        <v>17</v>
      </c>
      <c r="N36" s="84">
        <f>sumif('Game Stats'!$R:$R, $A36, 'Game Stats'!Y:Y)</f>
        <v>0</v>
      </c>
      <c r="O36" s="46">
        <v>2.0</v>
      </c>
      <c r="P36" s="73">
        <v>0.0</v>
      </c>
      <c r="Q36" s="73">
        <v>0.0</v>
      </c>
      <c r="R36" s="46">
        <v>1.0</v>
      </c>
      <c r="S36" s="49">
        <f t="shared" si="23"/>
        <v>0.6</v>
      </c>
      <c r="T36" s="49">
        <f t="shared" si="24"/>
        <v>0</v>
      </c>
      <c r="U36" s="50">
        <f t="shared" si="25"/>
        <v>3.15</v>
      </c>
      <c r="V36" s="49">
        <f t="shared" si="26"/>
        <v>1.05</v>
      </c>
      <c r="W36" s="49">
        <f t="shared" si="27"/>
        <v>8.925</v>
      </c>
      <c r="X36" s="51">
        <f t="shared" si="28"/>
        <v>11.475</v>
      </c>
      <c r="Y36" s="49">
        <f t="shared" si="29"/>
        <v>0</v>
      </c>
      <c r="Z36" s="49">
        <f t="shared" si="30"/>
        <v>0.1176470588</v>
      </c>
      <c r="AA36" s="89">
        <v>0.0</v>
      </c>
      <c r="AB36" s="64"/>
      <c r="AC36" s="64"/>
      <c r="AD36" s="65"/>
      <c r="AE36" s="65"/>
      <c r="AF36" s="65"/>
      <c r="AG36" s="65"/>
      <c r="AH36" s="65"/>
      <c r="AI36" s="65"/>
    </row>
    <row r="37" ht="15.75" customHeight="1">
      <c r="A37" s="45" t="s">
        <v>51</v>
      </c>
      <c r="B37" s="86">
        <f>COUNTIF('Game Stats'!R:R, A37)</f>
        <v>0</v>
      </c>
      <c r="C37" s="56" t="str">
        <f t="shared" si="21"/>
        <v>-</v>
      </c>
      <c r="D37" s="55">
        <v>0.0</v>
      </c>
      <c r="E37" s="55">
        <v>0.0</v>
      </c>
      <c r="F37" s="55">
        <v>0.0</v>
      </c>
      <c r="G37" s="55">
        <v>0.0</v>
      </c>
      <c r="H37" s="84">
        <f t="shared" si="22"/>
        <v>0</v>
      </c>
      <c r="I37" s="86">
        <f>sumif('Game Stats'!$R:$R, $A37, 'Game Stats'!T:T)</f>
        <v>0</v>
      </c>
      <c r="J37" s="86">
        <f>sumif('Game Stats'!$R:$R, $A37, 'Game Stats'!U:U)</f>
        <v>0</v>
      </c>
      <c r="K37" s="86">
        <f>sumif('Game Stats'!$R:$R, $A37, 'Game Stats'!V:V)</f>
        <v>0</v>
      </c>
      <c r="L37" s="86">
        <f>sumif('Game Stats'!$R:$R, $A37, 'Game Stats'!W:W)</f>
        <v>0</v>
      </c>
      <c r="M37" s="86">
        <f>sumif('Game Stats'!$R:$R, $A37, 'Game Stats'!X:X)</f>
        <v>0</v>
      </c>
      <c r="N37" s="86">
        <f>sumif('Game Stats'!$R:$R, $A37, 'Game Stats'!Y:Y)</f>
        <v>0</v>
      </c>
      <c r="O37" s="55">
        <v>0.0</v>
      </c>
      <c r="P37" s="55">
        <v>0.0</v>
      </c>
      <c r="Q37" s="55">
        <v>0.0</v>
      </c>
      <c r="R37" s="55">
        <v>0.0</v>
      </c>
      <c r="S37" s="58" t="str">
        <f t="shared" si="23"/>
        <v>-</v>
      </c>
      <c r="T37" s="58" t="str">
        <f t="shared" si="24"/>
        <v>-</v>
      </c>
      <c r="U37" s="59" t="str">
        <f t="shared" si="25"/>
        <v>-</v>
      </c>
      <c r="V37" s="58" t="str">
        <f t="shared" si="26"/>
        <v>-</v>
      </c>
      <c r="W37" s="58" t="str">
        <f t="shared" si="27"/>
        <v>-</v>
      </c>
      <c r="X37" s="60" t="str">
        <f t="shared" si="28"/>
        <v>-</v>
      </c>
      <c r="Y37" s="58" t="str">
        <f t="shared" si="29"/>
        <v>-</v>
      </c>
      <c r="Z37" s="58" t="str">
        <f t="shared" si="30"/>
        <v>-</v>
      </c>
      <c r="AA37" s="93">
        <v>0.0</v>
      </c>
      <c r="AB37" s="67"/>
      <c r="AC37" s="67"/>
      <c r="AD37" s="62"/>
      <c r="AE37" s="62"/>
      <c r="AF37" s="62"/>
      <c r="AG37" s="62"/>
      <c r="AH37" s="62"/>
      <c r="AI37" s="62"/>
    </row>
    <row r="38" ht="15.75" customHeight="1">
      <c r="A38" s="45" t="s">
        <v>83</v>
      </c>
      <c r="B38" s="86">
        <f>COUNTIF('Game Stats'!R:R, A38)</f>
        <v>7</v>
      </c>
      <c r="C38" s="56">
        <f t="shared" si="21"/>
        <v>0.8</v>
      </c>
      <c r="D38" s="55">
        <v>7.0</v>
      </c>
      <c r="E38" s="55">
        <v>2.0</v>
      </c>
      <c r="F38" s="55">
        <v>39.0</v>
      </c>
      <c r="G38" s="55">
        <v>0.0</v>
      </c>
      <c r="H38" s="84">
        <f t="shared" si="22"/>
        <v>39</v>
      </c>
      <c r="I38" s="86">
        <f>sumif('Game Stats'!$R:$R, $A38, 'Game Stats'!T:T)</f>
        <v>20</v>
      </c>
      <c r="J38" s="86">
        <f>sumif('Game Stats'!$R:$R, $A38, 'Game Stats'!U:U)</f>
        <v>11</v>
      </c>
      <c r="K38" s="86">
        <f>sumif('Game Stats'!$R:$R, $A38, 'Game Stats'!V:V)</f>
        <v>11</v>
      </c>
      <c r="L38" s="86">
        <f>sumif('Game Stats'!$R:$R, $A38, 'Game Stats'!W:W)</f>
        <v>16</v>
      </c>
      <c r="M38" s="86">
        <f>sumif('Game Stats'!$R:$R, $A38, 'Game Stats'!X:X)</f>
        <v>65</v>
      </c>
      <c r="N38" s="86">
        <f>sumif('Game Stats'!$R:$R, $A38, 'Game Stats'!Y:Y)</f>
        <v>0</v>
      </c>
      <c r="O38" s="55">
        <v>4.0</v>
      </c>
      <c r="P38" s="55">
        <v>1.0</v>
      </c>
      <c r="Q38" s="55">
        <v>0.0</v>
      </c>
      <c r="R38" s="55">
        <v>2.0</v>
      </c>
      <c r="S38" s="58">
        <f t="shared" si="23"/>
        <v>0.9230769231</v>
      </c>
      <c r="T38" s="58">
        <f t="shared" si="24"/>
        <v>1.974358974</v>
      </c>
      <c r="U38" s="59">
        <f t="shared" si="25"/>
        <v>3.58974359</v>
      </c>
      <c r="V38" s="58">
        <f t="shared" si="26"/>
        <v>2.871794872</v>
      </c>
      <c r="W38" s="58">
        <f t="shared" si="27"/>
        <v>11.66666667</v>
      </c>
      <c r="X38" s="60">
        <f t="shared" si="28"/>
        <v>15</v>
      </c>
      <c r="Y38" s="58">
        <f t="shared" si="29"/>
        <v>0</v>
      </c>
      <c r="Z38" s="58">
        <f t="shared" si="30"/>
        <v>0.2461538462</v>
      </c>
      <c r="AA38" s="93">
        <v>0.0</v>
      </c>
      <c r="AB38" s="67"/>
      <c r="AC38" s="67"/>
      <c r="AD38" s="62"/>
      <c r="AE38" s="62"/>
      <c r="AF38" s="62"/>
      <c r="AG38" s="62"/>
      <c r="AH38" s="62"/>
      <c r="AI38" s="62"/>
    </row>
    <row r="39" ht="15.75" customHeight="1">
      <c r="A39" s="4" t="s">
        <v>54</v>
      </c>
      <c r="B39" s="4"/>
      <c r="C39" s="34">
        <f>O39/(O39+P39)</f>
        <v>0.88</v>
      </c>
      <c r="D39" s="4">
        <f t="shared" ref="D39:G39" si="33">SUM(D26:D38)</f>
        <v>25</v>
      </c>
      <c r="E39" s="4">
        <f t="shared" si="33"/>
        <v>4</v>
      </c>
      <c r="F39" s="4">
        <f t="shared" si="33"/>
        <v>165</v>
      </c>
      <c r="G39" s="4">
        <f t="shared" si="33"/>
        <v>2.666666667</v>
      </c>
      <c r="H39" s="68">
        <f>F39+ifs(G39=1/3, 0.1, G39=2/3, 0.2, G39=0, 0, G39=1, 1, G39=4/3, 1.1, G39=5/3, 1.2, G39=2, 2, G39=7/3, 2.1, G39=8/3, 2.2)</f>
        <v>167.2</v>
      </c>
      <c r="I39" s="4">
        <f t="shared" ref="I39:R39" si="34">SUM(I26:I38)</f>
        <v>111</v>
      </c>
      <c r="J39" s="4">
        <f t="shared" si="34"/>
        <v>81</v>
      </c>
      <c r="K39" s="4">
        <f t="shared" si="34"/>
        <v>66</v>
      </c>
      <c r="L39" s="4">
        <f t="shared" si="34"/>
        <v>99</v>
      </c>
      <c r="M39" s="4">
        <f t="shared" si="34"/>
        <v>177</v>
      </c>
      <c r="N39" s="4">
        <f t="shared" si="34"/>
        <v>3</v>
      </c>
      <c r="O39" s="4">
        <f t="shared" si="34"/>
        <v>22</v>
      </c>
      <c r="P39" s="4">
        <f t="shared" si="34"/>
        <v>3</v>
      </c>
      <c r="Q39" s="4">
        <f t="shared" si="34"/>
        <v>6</v>
      </c>
      <c r="R39" s="4">
        <f t="shared" si="34"/>
        <v>5</v>
      </c>
      <c r="S39" s="33">
        <f>iferror((L39+I39)/(F39+G39), 0)</f>
        <v>1.252485089</v>
      </c>
      <c r="T39" s="33">
        <f>iferror((K39/(F39+G39))*7, 0)</f>
        <v>2.755467197</v>
      </c>
      <c r="U39" s="33">
        <f>iferror(7*(I39/(F39+G39)), 0)</f>
        <v>4.634194831</v>
      </c>
      <c r="V39" s="33">
        <f>iferror(7*(L39/(F39+G39)), 0)</f>
        <v>4.133200795</v>
      </c>
      <c r="W39" s="33">
        <f>iferror(7*(M39/(F39+G39)), 0)</f>
        <v>7.389662028</v>
      </c>
      <c r="X39" s="69">
        <f>iferror(9*(M39/(F39+G39)), 0)</f>
        <v>9.500994036</v>
      </c>
      <c r="Y39" s="33">
        <f>iferror(7*(N39/(F39+G39)), 0)</f>
        <v>0.1252485089</v>
      </c>
      <c r="Z39" s="33">
        <f>iferror(L39/M39, 0)</f>
        <v>0.5593220339</v>
      </c>
      <c r="AA39" s="4">
        <f>sum(AA26:AA38)</f>
        <v>2</v>
      </c>
      <c r="AB39" s="4"/>
      <c r="AC39" s="4"/>
      <c r="AD39" s="5"/>
      <c r="AE39" s="5"/>
      <c r="AF39" s="5"/>
      <c r="AG39" s="5"/>
      <c r="AH39" s="5"/>
      <c r="AI39" s="5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4"/>
      <c r="AC40" s="44"/>
      <c r="AD40" s="44"/>
      <c r="AE40" s="44"/>
      <c r="AF40" s="44"/>
      <c r="AG40" s="44"/>
      <c r="AH40" s="44"/>
      <c r="AI40" s="44"/>
    </row>
    <row r="41" ht="15.75" customHeight="1">
      <c r="A41" s="39"/>
      <c r="B41" s="39"/>
      <c r="C41" s="39"/>
      <c r="D41" s="70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44"/>
      <c r="AC41" s="44"/>
      <c r="AD41" s="44"/>
      <c r="AE41" s="44"/>
      <c r="AF41" s="44"/>
      <c r="AG41" s="44"/>
      <c r="AH41" s="44"/>
      <c r="AI41" s="44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44"/>
      <c r="AC42" s="44"/>
      <c r="AD42" s="44"/>
      <c r="AE42" s="44"/>
      <c r="AF42" s="44"/>
      <c r="AG42" s="44"/>
      <c r="AH42" s="44"/>
      <c r="AI42" s="44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44"/>
      <c r="AC43" s="44"/>
      <c r="AD43" s="44"/>
      <c r="AE43" s="44"/>
      <c r="AF43" s="44"/>
      <c r="AG43" s="44"/>
      <c r="AH43" s="44"/>
      <c r="AI43" s="44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44"/>
      <c r="AC44" s="44"/>
      <c r="AD44" s="44"/>
      <c r="AE44" s="44"/>
      <c r="AF44" s="44"/>
      <c r="AG44" s="44"/>
      <c r="AH44" s="44"/>
      <c r="AI44" s="44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4"/>
      <c r="AC45" s="44"/>
      <c r="AD45" s="44"/>
      <c r="AE45" s="44"/>
      <c r="AF45" s="44"/>
      <c r="AG45" s="44"/>
      <c r="AH45" s="44"/>
      <c r="AI45" s="44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44"/>
      <c r="AC46" s="44"/>
      <c r="AD46" s="44"/>
      <c r="AE46" s="44"/>
      <c r="AF46" s="44"/>
      <c r="AG46" s="44"/>
      <c r="AH46" s="44"/>
      <c r="AI46" s="44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4"/>
      <c r="AC47" s="44"/>
      <c r="AD47" s="44"/>
      <c r="AE47" s="44"/>
      <c r="AF47" s="44"/>
      <c r="AG47" s="44"/>
      <c r="AH47" s="44"/>
      <c r="AI47" s="44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44"/>
      <c r="AC48" s="44"/>
      <c r="AD48" s="44"/>
      <c r="AE48" s="44"/>
      <c r="AF48" s="44"/>
      <c r="AG48" s="44"/>
      <c r="AH48" s="44"/>
      <c r="AI48" s="44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44"/>
      <c r="AC49" s="44"/>
      <c r="AD49" s="44"/>
      <c r="AE49" s="44"/>
      <c r="AF49" s="44"/>
      <c r="AG49" s="44"/>
      <c r="AH49" s="44"/>
      <c r="AI49" s="44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4"/>
      <c r="AC50" s="44"/>
      <c r="AD50" s="44"/>
      <c r="AE50" s="44"/>
      <c r="AF50" s="44"/>
      <c r="AG50" s="44"/>
      <c r="AH50" s="44"/>
      <c r="AI50" s="44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44"/>
      <c r="AC51" s="44"/>
      <c r="AD51" s="44"/>
      <c r="AE51" s="44"/>
      <c r="AF51" s="44"/>
      <c r="AG51" s="44"/>
      <c r="AH51" s="44"/>
      <c r="AI51" s="44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44"/>
      <c r="AC52" s="44"/>
      <c r="AD52" s="44"/>
      <c r="AE52" s="44"/>
      <c r="AF52" s="44"/>
      <c r="AG52" s="44"/>
      <c r="AH52" s="44"/>
      <c r="AI52" s="44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44"/>
      <c r="AC53" s="44"/>
      <c r="AD53" s="44"/>
      <c r="AE53" s="44"/>
      <c r="AF53" s="44"/>
      <c r="AG53" s="44"/>
      <c r="AH53" s="44"/>
      <c r="AI53" s="44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44"/>
      <c r="AC54" s="44"/>
      <c r="AD54" s="44"/>
      <c r="AE54" s="44"/>
      <c r="AF54" s="44"/>
      <c r="AG54" s="44"/>
      <c r="AH54" s="44"/>
      <c r="AI54" s="44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44"/>
      <c r="AC55" s="44"/>
      <c r="AD55" s="44"/>
      <c r="AE55" s="44"/>
      <c r="AF55" s="44"/>
      <c r="AG55" s="44"/>
      <c r="AH55" s="44"/>
      <c r="AI55" s="44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44"/>
      <c r="AC56" s="44"/>
      <c r="AD56" s="44"/>
      <c r="AE56" s="44"/>
      <c r="AF56" s="44"/>
      <c r="AG56" s="44"/>
      <c r="AH56" s="44"/>
      <c r="AI56" s="44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4"/>
      <c r="AC57" s="44"/>
      <c r="AD57" s="44"/>
      <c r="AE57" s="44"/>
      <c r="AF57" s="44"/>
      <c r="AG57" s="44"/>
      <c r="AH57" s="44"/>
      <c r="AI57" s="44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44"/>
      <c r="AC58" s="44"/>
      <c r="AD58" s="44"/>
      <c r="AE58" s="44"/>
      <c r="AF58" s="44"/>
      <c r="AG58" s="44"/>
      <c r="AH58" s="44"/>
      <c r="AI58" s="44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44"/>
      <c r="AC59" s="44"/>
      <c r="AD59" s="44"/>
      <c r="AE59" s="44"/>
      <c r="AF59" s="44"/>
      <c r="AG59" s="44"/>
      <c r="AH59" s="44"/>
      <c r="AI59" s="44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44"/>
      <c r="AC60" s="44"/>
      <c r="AD60" s="44"/>
      <c r="AE60" s="44"/>
      <c r="AF60" s="44"/>
      <c r="AG60" s="44"/>
      <c r="AH60" s="44"/>
      <c r="AI60" s="44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44"/>
      <c r="AC61" s="44"/>
      <c r="AD61" s="44"/>
      <c r="AE61" s="44"/>
      <c r="AF61" s="44"/>
      <c r="AG61" s="44"/>
      <c r="AH61" s="44"/>
      <c r="AI61" s="44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44"/>
      <c r="AC62" s="44"/>
      <c r="AD62" s="44"/>
      <c r="AE62" s="44"/>
      <c r="AF62" s="44"/>
      <c r="AG62" s="44"/>
      <c r="AH62" s="44"/>
      <c r="AI62" s="44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44"/>
      <c r="AC63" s="44"/>
      <c r="AD63" s="44"/>
      <c r="AE63" s="44"/>
      <c r="AF63" s="44"/>
      <c r="AG63" s="44"/>
      <c r="AH63" s="44"/>
      <c r="AI63" s="44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44"/>
      <c r="AC64" s="44"/>
      <c r="AD64" s="44"/>
      <c r="AE64" s="44"/>
      <c r="AF64" s="44"/>
      <c r="AG64" s="44"/>
      <c r="AH64" s="44"/>
      <c r="AI64" s="44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44"/>
      <c r="AC65" s="44"/>
      <c r="AD65" s="44"/>
      <c r="AE65" s="44"/>
      <c r="AF65" s="44"/>
      <c r="AG65" s="44"/>
      <c r="AH65" s="44"/>
      <c r="AI65" s="44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44"/>
      <c r="AC66" s="44"/>
      <c r="AD66" s="44"/>
      <c r="AE66" s="44"/>
      <c r="AF66" s="44"/>
      <c r="AG66" s="44"/>
      <c r="AH66" s="44"/>
      <c r="AI66" s="44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44"/>
      <c r="AC67" s="44"/>
      <c r="AD67" s="44"/>
      <c r="AE67" s="44"/>
      <c r="AF67" s="44"/>
      <c r="AG67" s="44"/>
      <c r="AH67" s="44"/>
      <c r="AI67" s="44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44"/>
      <c r="AC68" s="44"/>
      <c r="AD68" s="44"/>
      <c r="AE68" s="44"/>
      <c r="AF68" s="44"/>
      <c r="AG68" s="44"/>
      <c r="AH68" s="44"/>
      <c r="AI68" s="44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44"/>
      <c r="AC69" s="44"/>
      <c r="AD69" s="44"/>
      <c r="AE69" s="44"/>
      <c r="AF69" s="44"/>
      <c r="AG69" s="44"/>
      <c r="AH69" s="44"/>
      <c r="AI69" s="44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44"/>
      <c r="AC70" s="44"/>
      <c r="AD70" s="44"/>
      <c r="AE70" s="44"/>
      <c r="AF70" s="44"/>
      <c r="AG70" s="44"/>
      <c r="AH70" s="44"/>
      <c r="AI70" s="44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44"/>
      <c r="AC71" s="44"/>
      <c r="AD71" s="44"/>
      <c r="AE71" s="44"/>
      <c r="AF71" s="44"/>
      <c r="AG71" s="44"/>
      <c r="AH71" s="44"/>
      <c r="AI71" s="44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44"/>
      <c r="AC72" s="44"/>
      <c r="AD72" s="44"/>
      <c r="AE72" s="44"/>
      <c r="AF72" s="44"/>
      <c r="AG72" s="44"/>
      <c r="AH72" s="44"/>
      <c r="AI72" s="44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44"/>
      <c r="AC73" s="44"/>
      <c r="AD73" s="44"/>
      <c r="AE73" s="44"/>
      <c r="AF73" s="44"/>
      <c r="AG73" s="44"/>
      <c r="AH73" s="44"/>
      <c r="AI73" s="44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44"/>
      <c r="AC74" s="44"/>
      <c r="AD74" s="44"/>
      <c r="AE74" s="44"/>
      <c r="AF74" s="44"/>
      <c r="AG74" s="44"/>
      <c r="AH74" s="44"/>
      <c r="AI74" s="44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44"/>
      <c r="AC75" s="44"/>
      <c r="AD75" s="44"/>
      <c r="AE75" s="44"/>
      <c r="AF75" s="44"/>
      <c r="AG75" s="44"/>
      <c r="AH75" s="44"/>
      <c r="AI75" s="44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44"/>
      <c r="AC76" s="44"/>
      <c r="AD76" s="44"/>
      <c r="AE76" s="44"/>
      <c r="AF76" s="44"/>
      <c r="AG76" s="44"/>
      <c r="AH76" s="44"/>
      <c r="AI76" s="44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44"/>
      <c r="AC77" s="44"/>
      <c r="AD77" s="44"/>
      <c r="AE77" s="44"/>
      <c r="AF77" s="44"/>
      <c r="AG77" s="44"/>
      <c r="AH77" s="44"/>
      <c r="AI77" s="44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44"/>
      <c r="AC78" s="44"/>
      <c r="AD78" s="44"/>
      <c r="AE78" s="44"/>
      <c r="AF78" s="44"/>
      <c r="AG78" s="44"/>
      <c r="AH78" s="44"/>
      <c r="AI78" s="44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44"/>
      <c r="AC79" s="44"/>
      <c r="AD79" s="44"/>
      <c r="AE79" s="44"/>
      <c r="AF79" s="44"/>
      <c r="AG79" s="44"/>
      <c r="AH79" s="44"/>
      <c r="AI79" s="44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44"/>
      <c r="AC80" s="44"/>
      <c r="AD80" s="44"/>
      <c r="AE80" s="44"/>
      <c r="AF80" s="44"/>
      <c r="AG80" s="44"/>
      <c r="AH80" s="44"/>
      <c r="AI80" s="44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44"/>
      <c r="AC81" s="44"/>
      <c r="AD81" s="44"/>
      <c r="AE81" s="44"/>
      <c r="AF81" s="44"/>
      <c r="AG81" s="44"/>
      <c r="AH81" s="44"/>
      <c r="AI81" s="44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44"/>
      <c r="AC82" s="44"/>
      <c r="AD82" s="44"/>
      <c r="AE82" s="44"/>
      <c r="AF82" s="44"/>
      <c r="AG82" s="44"/>
      <c r="AH82" s="44"/>
      <c r="AI82" s="44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44"/>
      <c r="AC83" s="44"/>
      <c r="AD83" s="44"/>
      <c r="AE83" s="44"/>
      <c r="AF83" s="44"/>
      <c r="AG83" s="44"/>
      <c r="AH83" s="44"/>
      <c r="AI83" s="44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44"/>
      <c r="AC84" s="44"/>
      <c r="AD84" s="44"/>
      <c r="AE84" s="44"/>
      <c r="AF84" s="44"/>
      <c r="AG84" s="44"/>
      <c r="AH84" s="44"/>
      <c r="AI84" s="44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44"/>
      <c r="AC85" s="44"/>
      <c r="AD85" s="44"/>
      <c r="AE85" s="44"/>
      <c r="AF85" s="44"/>
      <c r="AG85" s="44"/>
      <c r="AH85" s="44"/>
      <c r="AI85" s="44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44"/>
      <c r="AC86" s="44"/>
      <c r="AD86" s="44"/>
      <c r="AE86" s="44"/>
      <c r="AF86" s="44"/>
      <c r="AG86" s="44"/>
      <c r="AH86" s="44"/>
      <c r="AI86" s="44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44"/>
      <c r="AC87" s="44"/>
      <c r="AD87" s="44"/>
      <c r="AE87" s="44"/>
      <c r="AF87" s="44"/>
      <c r="AG87" s="44"/>
      <c r="AH87" s="44"/>
      <c r="AI87" s="44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44"/>
      <c r="AC88" s="44"/>
      <c r="AD88" s="44"/>
      <c r="AE88" s="44"/>
      <c r="AF88" s="44"/>
      <c r="AG88" s="44"/>
      <c r="AH88" s="44"/>
      <c r="AI88" s="44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44"/>
      <c r="AC89" s="44"/>
      <c r="AD89" s="44"/>
      <c r="AE89" s="44"/>
      <c r="AF89" s="44"/>
      <c r="AG89" s="44"/>
      <c r="AH89" s="44"/>
      <c r="AI89" s="44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44"/>
      <c r="AC90" s="44"/>
      <c r="AD90" s="44"/>
      <c r="AE90" s="44"/>
      <c r="AF90" s="44"/>
      <c r="AG90" s="44"/>
      <c r="AH90" s="44"/>
      <c r="AI90" s="44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44"/>
      <c r="AC91" s="44"/>
      <c r="AD91" s="44"/>
      <c r="AE91" s="44"/>
      <c r="AF91" s="44"/>
      <c r="AG91" s="44"/>
      <c r="AH91" s="44"/>
      <c r="AI91" s="44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44"/>
      <c r="AC92" s="44"/>
      <c r="AD92" s="44"/>
      <c r="AE92" s="44"/>
      <c r="AF92" s="44"/>
      <c r="AG92" s="44"/>
      <c r="AH92" s="44"/>
      <c r="AI92" s="44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44"/>
      <c r="AC93" s="44"/>
      <c r="AD93" s="44"/>
      <c r="AE93" s="44"/>
      <c r="AF93" s="44"/>
      <c r="AG93" s="44"/>
      <c r="AH93" s="44"/>
      <c r="AI93" s="44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44"/>
      <c r="AC94" s="44"/>
      <c r="AD94" s="44"/>
      <c r="AE94" s="44"/>
      <c r="AF94" s="44"/>
      <c r="AG94" s="44"/>
      <c r="AH94" s="44"/>
      <c r="AI94" s="44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44"/>
      <c r="AC95" s="44"/>
      <c r="AD95" s="44"/>
      <c r="AE95" s="44"/>
      <c r="AF95" s="44"/>
      <c r="AG95" s="44"/>
      <c r="AH95" s="44"/>
      <c r="AI95" s="44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44"/>
      <c r="AC96" s="44"/>
      <c r="AD96" s="44"/>
      <c r="AE96" s="44"/>
      <c r="AF96" s="44"/>
      <c r="AG96" s="44"/>
      <c r="AH96" s="44"/>
      <c r="AI96" s="44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44"/>
      <c r="AC97" s="44"/>
      <c r="AD97" s="44"/>
      <c r="AE97" s="44"/>
      <c r="AF97" s="44"/>
      <c r="AG97" s="44"/>
      <c r="AH97" s="44"/>
      <c r="AI97" s="44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44"/>
      <c r="AC98" s="44"/>
      <c r="AD98" s="44"/>
      <c r="AE98" s="44"/>
      <c r="AF98" s="44"/>
      <c r="AG98" s="44"/>
      <c r="AH98" s="44"/>
      <c r="AI98" s="44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44"/>
      <c r="AC99" s="44"/>
      <c r="AD99" s="44"/>
      <c r="AE99" s="44"/>
      <c r="AF99" s="44"/>
      <c r="AG99" s="44"/>
      <c r="AH99" s="44"/>
      <c r="AI99" s="44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44"/>
      <c r="AC100" s="44"/>
      <c r="AD100" s="44"/>
      <c r="AE100" s="44"/>
      <c r="AF100" s="44"/>
      <c r="AG100" s="44"/>
      <c r="AH100" s="44"/>
      <c r="AI100" s="44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44"/>
      <c r="AC101" s="44"/>
      <c r="AD101" s="44"/>
      <c r="AE101" s="44"/>
      <c r="AF101" s="44"/>
      <c r="AG101" s="44"/>
      <c r="AH101" s="44"/>
      <c r="AI101" s="44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44"/>
      <c r="AC102" s="44"/>
      <c r="AD102" s="44"/>
      <c r="AE102" s="44"/>
      <c r="AF102" s="44"/>
      <c r="AG102" s="44"/>
      <c r="AH102" s="44"/>
      <c r="AI102" s="44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44"/>
      <c r="AC103" s="44"/>
      <c r="AD103" s="44"/>
      <c r="AE103" s="44"/>
      <c r="AF103" s="44"/>
      <c r="AG103" s="44"/>
      <c r="AH103" s="44"/>
      <c r="AI103" s="44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44"/>
      <c r="AC104" s="44"/>
      <c r="AD104" s="44"/>
      <c r="AE104" s="44"/>
      <c r="AF104" s="44"/>
      <c r="AG104" s="44"/>
      <c r="AH104" s="44"/>
      <c r="AI104" s="44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44"/>
      <c r="AC105" s="44"/>
      <c r="AD105" s="44"/>
      <c r="AE105" s="44"/>
      <c r="AF105" s="44"/>
      <c r="AG105" s="44"/>
      <c r="AH105" s="44"/>
      <c r="AI105" s="44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44"/>
      <c r="AC106" s="44"/>
      <c r="AD106" s="44"/>
      <c r="AE106" s="44"/>
      <c r="AF106" s="44"/>
      <c r="AG106" s="44"/>
      <c r="AH106" s="44"/>
      <c r="AI106" s="44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44"/>
      <c r="AC107" s="44"/>
      <c r="AD107" s="44"/>
      <c r="AE107" s="44"/>
      <c r="AF107" s="44"/>
      <c r="AG107" s="44"/>
      <c r="AH107" s="44"/>
      <c r="AI107" s="44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44"/>
      <c r="AC108" s="44"/>
      <c r="AD108" s="44"/>
      <c r="AE108" s="44"/>
      <c r="AF108" s="44"/>
      <c r="AG108" s="44"/>
      <c r="AH108" s="44"/>
      <c r="AI108" s="44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44"/>
      <c r="AC109" s="44"/>
      <c r="AD109" s="44"/>
      <c r="AE109" s="44"/>
      <c r="AF109" s="44"/>
      <c r="AG109" s="44"/>
      <c r="AH109" s="44"/>
      <c r="AI109" s="44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44"/>
      <c r="AC110" s="44"/>
      <c r="AD110" s="44"/>
      <c r="AE110" s="44"/>
      <c r="AF110" s="44"/>
      <c r="AG110" s="44"/>
      <c r="AH110" s="44"/>
      <c r="AI110" s="44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44"/>
      <c r="AC111" s="44"/>
      <c r="AD111" s="44"/>
      <c r="AE111" s="44"/>
      <c r="AF111" s="44"/>
      <c r="AG111" s="44"/>
      <c r="AH111" s="44"/>
      <c r="AI111" s="44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44"/>
      <c r="AC112" s="44"/>
      <c r="AD112" s="44"/>
      <c r="AE112" s="44"/>
      <c r="AF112" s="44"/>
      <c r="AG112" s="44"/>
      <c r="AH112" s="44"/>
      <c r="AI112" s="44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44"/>
      <c r="AC113" s="44"/>
      <c r="AD113" s="44"/>
      <c r="AE113" s="44"/>
      <c r="AF113" s="44"/>
      <c r="AG113" s="44"/>
      <c r="AH113" s="44"/>
      <c r="AI113" s="44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44"/>
      <c r="AC114" s="44"/>
      <c r="AD114" s="44"/>
      <c r="AE114" s="44"/>
      <c r="AF114" s="44"/>
      <c r="AG114" s="44"/>
      <c r="AH114" s="44"/>
      <c r="AI114" s="44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44"/>
      <c r="AC115" s="44"/>
      <c r="AD115" s="44"/>
      <c r="AE115" s="44"/>
      <c r="AF115" s="44"/>
      <c r="AG115" s="44"/>
      <c r="AH115" s="44"/>
      <c r="AI115" s="44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44"/>
      <c r="AC116" s="44"/>
      <c r="AD116" s="44"/>
      <c r="AE116" s="44"/>
      <c r="AF116" s="44"/>
      <c r="AG116" s="44"/>
      <c r="AH116" s="44"/>
      <c r="AI116" s="44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44"/>
      <c r="AC117" s="44"/>
      <c r="AD117" s="44"/>
      <c r="AE117" s="44"/>
      <c r="AF117" s="44"/>
      <c r="AG117" s="44"/>
      <c r="AH117" s="44"/>
      <c r="AI117" s="44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44"/>
      <c r="AC118" s="44"/>
      <c r="AD118" s="44"/>
      <c r="AE118" s="44"/>
      <c r="AF118" s="44"/>
      <c r="AG118" s="44"/>
      <c r="AH118" s="44"/>
      <c r="AI118" s="44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44"/>
      <c r="AC119" s="44"/>
      <c r="AD119" s="44"/>
      <c r="AE119" s="44"/>
      <c r="AF119" s="44"/>
      <c r="AG119" s="44"/>
      <c r="AH119" s="44"/>
      <c r="AI119" s="44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44"/>
      <c r="AC120" s="44"/>
      <c r="AD120" s="44"/>
      <c r="AE120" s="44"/>
      <c r="AF120" s="44"/>
      <c r="AG120" s="44"/>
      <c r="AH120" s="44"/>
      <c r="AI120" s="44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44"/>
      <c r="AC121" s="44"/>
      <c r="AD121" s="44"/>
      <c r="AE121" s="44"/>
      <c r="AF121" s="44"/>
      <c r="AG121" s="44"/>
      <c r="AH121" s="44"/>
      <c r="AI121" s="44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44"/>
      <c r="AC122" s="44"/>
      <c r="AD122" s="44"/>
      <c r="AE122" s="44"/>
      <c r="AF122" s="44"/>
      <c r="AG122" s="44"/>
      <c r="AH122" s="44"/>
      <c r="AI122" s="44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44"/>
      <c r="AC123" s="44"/>
      <c r="AD123" s="44"/>
      <c r="AE123" s="44"/>
      <c r="AF123" s="44"/>
      <c r="AG123" s="44"/>
      <c r="AH123" s="44"/>
      <c r="AI123" s="44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44"/>
      <c r="AC124" s="44"/>
      <c r="AD124" s="44"/>
      <c r="AE124" s="44"/>
      <c r="AF124" s="44"/>
      <c r="AG124" s="44"/>
      <c r="AH124" s="44"/>
      <c r="AI124" s="44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44"/>
      <c r="AC125" s="44"/>
      <c r="AD125" s="44"/>
      <c r="AE125" s="44"/>
      <c r="AF125" s="44"/>
      <c r="AG125" s="44"/>
      <c r="AH125" s="44"/>
      <c r="AI125" s="44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44"/>
      <c r="AC126" s="44"/>
      <c r="AD126" s="44"/>
      <c r="AE126" s="44"/>
      <c r="AF126" s="44"/>
      <c r="AG126" s="44"/>
      <c r="AH126" s="44"/>
      <c r="AI126" s="44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44"/>
      <c r="AC127" s="44"/>
      <c r="AD127" s="44"/>
      <c r="AE127" s="44"/>
      <c r="AF127" s="44"/>
      <c r="AG127" s="44"/>
      <c r="AH127" s="44"/>
      <c r="AI127" s="44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44"/>
      <c r="AC128" s="44"/>
      <c r="AD128" s="44"/>
      <c r="AE128" s="44"/>
      <c r="AF128" s="44"/>
      <c r="AG128" s="44"/>
      <c r="AH128" s="44"/>
      <c r="AI128" s="44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44"/>
      <c r="AC129" s="44"/>
      <c r="AD129" s="44"/>
      <c r="AE129" s="44"/>
      <c r="AF129" s="44"/>
      <c r="AG129" s="44"/>
      <c r="AH129" s="44"/>
      <c r="AI129" s="44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44"/>
      <c r="AC130" s="44"/>
      <c r="AD130" s="44"/>
      <c r="AE130" s="44"/>
      <c r="AF130" s="44"/>
      <c r="AG130" s="44"/>
      <c r="AH130" s="44"/>
      <c r="AI130" s="44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44"/>
      <c r="AC131" s="44"/>
      <c r="AD131" s="44"/>
      <c r="AE131" s="44"/>
      <c r="AF131" s="44"/>
      <c r="AG131" s="44"/>
      <c r="AH131" s="44"/>
      <c r="AI131" s="44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44"/>
      <c r="AC132" s="44"/>
      <c r="AD132" s="44"/>
      <c r="AE132" s="44"/>
      <c r="AF132" s="44"/>
      <c r="AG132" s="44"/>
      <c r="AH132" s="44"/>
      <c r="AI132" s="44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44"/>
      <c r="AC133" s="44"/>
      <c r="AD133" s="44"/>
      <c r="AE133" s="44"/>
      <c r="AF133" s="44"/>
      <c r="AG133" s="44"/>
      <c r="AH133" s="44"/>
      <c r="AI133" s="44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44"/>
      <c r="AC134" s="44"/>
      <c r="AD134" s="44"/>
      <c r="AE134" s="44"/>
      <c r="AF134" s="44"/>
      <c r="AG134" s="44"/>
      <c r="AH134" s="44"/>
      <c r="AI134" s="44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44"/>
      <c r="AC135" s="44"/>
      <c r="AD135" s="44"/>
      <c r="AE135" s="44"/>
      <c r="AF135" s="44"/>
      <c r="AG135" s="44"/>
      <c r="AH135" s="44"/>
      <c r="AI135" s="44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44"/>
      <c r="AC136" s="44"/>
      <c r="AD136" s="44"/>
      <c r="AE136" s="44"/>
      <c r="AF136" s="44"/>
      <c r="AG136" s="44"/>
      <c r="AH136" s="44"/>
      <c r="AI136" s="44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44"/>
      <c r="AC137" s="44"/>
      <c r="AD137" s="44"/>
      <c r="AE137" s="44"/>
      <c r="AF137" s="44"/>
      <c r="AG137" s="44"/>
      <c r="AH137" s="44"/>
      <c r="AI137" s="44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44"/>
      <c r="AC138" s="44"/>
      <c r="AD138" s="44"/>
      <c r="AE138" s="44"/>
      <c r="AF138" s="44"/>
      <c r="AG138" s="44"/>
      <c r="AH138" s="44"/>
      <c r="AI138" s="44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44"/>
      <c r="AC139" s="44"/>
      <c r="AD139" s="44"/>
      <c r="AE139" s="44"/>
      <c r="AF139" s="44"/>
      <c r="AG139" s="44"/>
      <c r="AH139" s="44"/>
      <c r="AI139" s="44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44"/>
      <c r="AC140" s="44"/>
      <c r="AD140" s="44"/>
      <c r="AE140" s="44"/>
      <c r="AF140" s="44"/>
      <c r="AG140" s="44"/>
      <c r="AH140" s="44"/>
      <c r="AI140" s="44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44"/>
      <c r="AC141" s="44"/>
      <c r="AD141" s="44"/>
      <c r="AE141" s="44"/>
      <c r="AF141" s="44"/>
      <c r="AG141" s="44"/>
      <c r="AH141" s="44"/>
      <c r="AI141" s="44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44"/>
      <c r="AC142" s="44"/>
      <c r="AD142" s="44"/>
      <c r="AE142" s="44"/>
      <c r="AF142" s="44"/>
      <c r="AG142" s="44"/>
      <c r="AH142" s="44"/>
      <c r="AI142" s="44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44"/>
      <c r="AC143" s="44"/>
      <c r="AD143" s="44"/>
      <c r="AE143" s="44"/>
      <c r="AF143" s="44"/>
      <c r="AG143" s="44"/>
      <c r="AH143" s="44"/>
      <c r="AI143" s="44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44"/>
      <c r="AC144" s="44"/>
      <c r="AD144" s="44"/>
      <c r="AE144" s="44"/>
      <c r="AF144" s="44"/>
      <c r="AG144" s="44"/>
      <c r="AH144" s="44"/>
      <c r="AI144" s="44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44"/>
      <c r="AC145" s="44"/>
      <c r="AD145" s="44"/>
      <c r="AE145" s="44"/>
      <c r="AF145" s="44"/>
      <c r="AG145" s="44"/>
      <c r="AH145" s="44"/>
      <c r="AI145" s="44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44"/>
      <c r="AC146" s="44"/>
      <c r="AD146" s="44"/>
      <c r="AE146" s="44"/>
      <c r="AF146" s="44"/>
      <c r="AG146" s="44"/>
      <c r="AH146" s="44"/>
      <c r="AI146" s="44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44"/>
      <c r="AC147" s="44"/>
      <c r="AD147" s="44"/>
      <c r="AE147" s="44"/>
      <c r="AF147" s="44"/>
      <c r="AG147" s="44"/>
      <c r="AH147" s="44"/>
      <c r="AI147" s="44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44"/>
      <c r="AC148" s="44"/>
      <c r="AD148" s="44"/>
      <c r="AE148" s="44"/>
      <c r="AF148" s="44"/>
      <c r="AG148" s="44"/>
      <c r="AH148" s="44"/>
      <c r="AI148" s="44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44"/>
      <c r="AC149" s="44"/>
      <c r="AD149" s="44"/>
      <c r="AE149" s="44"/>
      <c r="AF149" s="44"/>
      <c r="AG149" s="44"/>
      <c r="AH149" s="44"/>
      <c r="AI149" s="44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44"/>
      <c r="AC150" s="44"/>
      <c r="AD150" s="44"/>
      <c r="AE150" s="44"/>
      <c r="AF150" s="44"/>
      <c r="AG150" s="44"/>
      <c r="AH150" s="44"/>
      <c r="AI150" s="44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44"/>
      <c r="AC151" s="44"/>
      <c r="AD151" s="44"/>
      <c r="AE151" s="44"/>
      <c r="AF151" s="44"/>
      <c r="AG151" s="44"/>
      <c r="AH151" s="44"/>
      <c r="AI151" s="44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44"/>
      <c r="AC152" s="44"/>
      <c r="AD152" s="44"/>
      <c r="AE152" s="44"/>
      <c r="AF152" s="44"/>
      <c r="AG152" s="44"/>
      <c r="AH152" s="44"/>
      <c r="AI152" s="44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44"/>
      <c r="AC153" s="44"/>
      <c r="AD153" s="44"/>
      <c r="AE153" s="44"/>
      <c r="AF153" s="44"/>
      <c r="AG153" s="44"/>
      <c r="AH153" s="44"/>
      <c r="AI153" s="44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44"/>
      <c r="AC154" s="44"/>
      <c r="AD154" s="44"/>
      <c r="AE154" s="44"/>
      <c r="AF154" s="44"/>
      <c r="AG154" s="44"/>
      <c r="AH154" s="44"/>
      <c r="AI154" s="44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44"/>
      <c r="AC155" s="44"/>
      <c r="AD155" s="44"/>
      <c r="AE155" s="44"/>
      <c r="AF155" s="44"/>
      <c r="AG155" s="44"/>
      <c r="AH155" s="44"/>
      <c r="AI155" s="44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44"/>
      <c r="AC156" s="44"/>
      <c r="AD156" s="44"/>
      <c r="AE156" s="44"/>
      <c r="AF156" s="44"/>
      <c r="AG156" s="44"/>
      <c r="AH156" s="44"/>
      <c r="AI156" s="44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44"/>
      <c r="AC157" s="44"/>
      <c r="AD157" s="44"/>
      <c r="AE157" s="44"/>
      <c r="AF157" s="44"/>
      <c r="AG157" s="44"/>
      <c r="AH157" s="44"/>
      <c r="AI157" s="44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44"/>
      <c r="AC158" s="44"/>
      <c r="AD158" s="44"/>
      <c r="AE158" s="44"/>
      <c r="AF158" s="44"/>
      <c r="AG158" s="44"/>
      <c r="AH158" s="44"/>
      <c r="AI158" s="44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44"/>
      <c r="AC159" s="44"/>
      <c r="AD159" s="44"/>
      <c r="AE159" s="44"/>
      <c r="AF159" s="44"/>
      <c r="AG159" s="44"/>
      <c r="AH159" s="44"/>
      <c r="AI159" s="44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44"/>
      <c r="AC160" s="44"/>
      <c r="AD160" s="44"/>
      <c r="AE160" s="44"/>
      <c r="AF160" s="44"/>
      <c r="AG160" s="44"/>
      <c r="AH160" s="44"/>
      <c r="AI160" s="44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44"/>
      <c r="AC161" s="44"/>
      <c r="AD161" s="44"/>
      <c r="AE161" s="44"/>
      <c r="AF161" s="44"/>
      <c r="AG161" s="44"/>
      <c r="AH161" s="44"/>
      <c r="AI161" s="44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44"/>
      <c r="AC162" s="44"/>
      <c r="AD162" s="44"/>
      <c r="AE162" s="44"/>
      <c r="AF162" s="44"/>
      <c r="AG162" s="44"/>
      <c r="AH162" s="44"/>
      <c r="AI162" s="44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44"/>
      <c r="AC163" s="44"/>
      <c r="AD163" s="44"/>
      <c r="AE163" s="44"/>
      <c r="AF163" s="44"/>
      <c r="AG163" s="44"/>
      <c r="AH163" s="44"/>
      <c r="AI163" s="44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44"/>
      <c r="AC164" s="44"/>
      <c r="AD164" s="44"/>
      <c r="AE164" s="44"/>
      <c r="AF164" s="44"/>
      <c r="AG164" s="44"/>
      <c r="AH164" s="44"/>
      <c r="AI164" s="44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44"/>
      <c r="AC165" s="44"/>
      <c r="AD165" s="44"/>
      <c r="AE165" s="44"/>
      <c r="AF165" s="44"/>
      <c r="AG165" s="44"/>
      <c r="AH165" s="44"/>
      <c r="AI165" s="44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44"/>
      <c r="AC166" s="44"/>
      <c r="AD166" s="44"/>
      <c r="AE166" s="44"/>
      <c r="AF166" s="44"/>
      <c r="AG166" s="44"/>
      <c r="AH166" s="44"/>
      <c r="AI166" s="44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44"/>
      <c r="AC167" s="44"/>
      <c r="AD167" s="44"/>
      <c r="AE167" s="44"/>
      <c r="AF167" s="44"/>
      <c r="AG167" s="44"/>
      <c r="AH167" s="44"/>
      <c r="AI167" s="44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44"/>
      <c r="AC168" s="44"/>
      <c r="AD168" s="44"/>
      <c r="AE168" s="44"/>
      <c r="AF168" s="44"/>
      <c r="AG168" s="44"/>
      <c r="AH168" s="44"/>
      <c r="AI168" s="44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44"/>
      <c r="AC169" s="44"/>
      <c r="AD169" s="44"/>
      <c r="AE169" s="44"/>
      <c r="AF169" s="44"/>
      <c r="AG169" s="44"/>
      <c r="AH169" s="44"/>
      <c r="AI169" s="44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44"/>
      <c r="AC170" s="44"/>
      <c r="AD170" s="44"/>
      <c r="AE170" s="44"/>
      <c r="AF170" s="44"/>
      <c r="AG170" s="44"/>
      <c r="AH170" s="44"/>
      <c r="AI170" s="44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44"/>
      <c r="AC171" s="44"/>
      <c r="AD171" s="44"/>
      <c r="AE171" s="44"/>
      <c r="AF171" s="44"/>
      <c r="AG171" s="44"/>
      <c r="AH171" s="44"/>
      <c r="AI171" s="44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44"/>
      <c r="AC172" s="44"/>
      <c r="AD172" s="44"/>
      <c r="AE172" s="44"/>
      <c r="AF172" s="44"/>
      <c r="AG172" s="44"/>
      <c r="AH172" s="44"/>
      <c r="AI172" s="44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44"/>
      <c r="AC173" s="44"/>
      <c r="AD173" s="44"/>
      <c r="AE173" s="44"/>
      <c r="AF173" s="44"/>
      <c r="AG173" s="44"/>
      <c r="AH173" s="44"/>
      <c r="AI173" s="44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44"/>
      <c r="AC174" s="44"/>
      <c r="AD174" s="44"/>
      <c r="AE174" s="44"/>
      <c r="AF174" s="44"/>
      <c r="AG174" s="44"/>
      <c r="AH174" s="44"/>
      <c r="AI174" s="44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44"/>
      <c r="AC175" s="44"/>
      <c r="AD175" s="44"/>
      <c r="AE175" s="44"/>
      <c r="AF175" s="44"/>
      <c r="AG175" s="44"/>
      <c r="AH175" s="44"/>
      <c r="AI175" s="44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44"/>
      <c r="AC176" s="44"/>
      <c r="AD176" s="44"/>
      <c r="AE176" s="44"/>
      <c r="AF176" s="44"/>
      <c r="AG176" s="44"/>
      <c r="AH176" s="44"/>
      <c r="AI176" s="44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44"/>
      <c r="AC177" s="44"/>
      <c r="AD177" s="44"/>
      <c r="AE177" s="44"/>
      <c r="AF177" s="44"/>
      <c r="AG177" s="44"/>
      <c r="AH177" s="44"/>
      <c r="AI177" s="44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44"/>
      <c r="AC178" s="44"/>
      <c r="AD178" s="44"/>
      <c r="AE178" s="44"/>
      <c r="AF178" s="44"/>
      <c r="AG178" s="44"/>
      <c r="AH178" s="44"/>
      <c r="AI178" s="44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44"/>
      <c r="AC179" s="44"/>
      <c r="AD179" s="44"/>
      <c r="AE179" s="44"/>
      <c r="AF179" s="44"/>
      <c r="AG179" s="44"/>
      <c r="AH179" s="44"/>
      <c r="AI179" s="44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44"/>
      <c r="AC180" s="44"/>
      <c r="AD180" s="44"/>
      <c r="AE180" s="44"/>
      <c r="AF180" s="44"/>
      <c r="AG180" s="44"/>
      <c r="AH180" s="44"/>
      <c r="AI180" s="44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44"/>
      <c r="AC181" s="44"/>
      <c r="AD181" s="44"/>
      <c r="AE181" s="44"/>
      <c r="AF181" s="44"/>
      <c r="AG181" s="44"/>
      <c r="AH181" s="44"/>
      <c r="AI181" s="44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44"/>
      <c r="AC182" s="44"/>
      <c r="AD182" s="44"/>
      <c r="AE182" s="44"/>
      <c r="AF182" s="44"/>
      <c r="AG182" s="44"/>
      <c r="AH182" s="44"/>
      <c r="AI182" s="44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44"/>
      <c r="AC183" s="44"/>
      <c r="AD183" s="44"/>
      <c r="AE183" s="44"/>
      <c r="AF183" s="44"/>
      <c r="AG183" s="44"/>
      <c r="AH183" s="44"/>
      <c r="AI183" s="44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44"/>
      <c r="AC184" s="44"/>
      <c r="AD184" s="44"/>
      <c r="AE184" s="44"/>
      <c r="AF184" s="44"/>
      <c r="AG184" s="44"/>
      <c r="AH184" s="44"/>
      <c r="AI184" s="44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44"/>
      <c r="AC185" s="44"/>
      <c r="AD185" s="44"/>
      <c r="AE185" s="44"/>
      <c r="AF185" s="44"/>
      <c r="AG185" s="44"/>
      <c r="AH185" s="44"/>
      <c r="AI185" s="44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44"/>
      <c r="AC186" s="44"/>
      <c r="AD186" s="44"/>
      <c r="AE186" s="44"/>
      <c r="AF186" s="44"/>
      <c r="AG186" s="44"/>
      <c r="AH186" s="44"/>
      <c r="AI186" s="44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44"/>
      <c r="AC187" s="44"/>
      <c r="AD187" s="44"/>
      <c r="AE187" s="44"/>
      <c r="AF187" s="44"/>
      <c r="AG187" s="44"/>
      <c r="AH187" s="44"/>
      <c r="AI187" s="44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44"/>
      <c r="AC188" s="44"/>
      <c r="AD188" s="44"/>
      <c r="AE188" s="44"/>
      <c r="AF188" s="44"/>
      <c r="AG188" s="44"/>
      <c r="AH188" s="44"/>
      <c r="AI188" s="44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44"/>
      <c r="AC189" s="44"/>
      <c r="AD189" s="44"/>
      <c r="AE189" s="44"/>
      <c r="AF189" s="44"/>
      <c r="AG189" s="44"/>
      <c r="AH189" s="44"/>
      <c r="AI189" s="44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44"/>
      <c r="AC190" s="44"/>
      <c r="AD190" s="44"/>
      <c r="AE190" s="44"/>
      <c r="AF190" s="44"/>
      <c r="AG190" s="44"/>
      <c r="AH190" s="44"/>
      <c r="AI190" s="44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44"/>
      <c r="AC191" s="44"/>
      <c r="AD191" s="44"/>
      <c r="AE191" s="44"/>
      <c r="AF191" s="44"/>
      <c r="AG191" s="44"/>
      <c r="AH191" s="44"/>
      <c r="AI191" s="44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44"/>
      <c r="AC192" s="44"/>
      <c r="AD192" s="44"/>
      <c r="AE192" s="44"/>
      <c r="AF192" s="44"/>
      <c r="AG192" s="44"/>
      <c r="AH192" s="44"/>
      <c r="AI192" s="44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44"/>
      <c r="AC193" s="44"/>
      <c r="AD193" s="44"/>
      <c r="AE193" s="44"/>
      <c r="AF193" s="44"/>
      <c r="AG193" s="44"/>
      <c r="AH193" s="44"/>
      <c r="AI193" s="44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44"/>
      <c r="AC194" s="44"/>
      <c r="AD194" s="44"/>
      <c r="AE194" s="44"/>
      <c r="AF194" s="44"/>
      <c r="AG194" s="44"/>
      <c r="AH194" s="44"/>
      <c r="AI194" s="44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44"/>
      <c r="AC195" s="44"/>
      <c r="AD195" s="44"/>
      <c r="AE195" s="44"/>
      <c r="AF195" s="44"/>
      <c r="AG195" s="44"/>
      <c r="AH195" s="44"/>
      <c r="AI195" s="44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44"/>
      <c r="AC196" s="44"/>
      <c r="AD196" s="44"/>
      <c r="AE196" s="44"/>
      <c r="AF196" s="44"/>
      <c r="AG196" s="44"/>
      <c r="AH196" s="44"/>
      <c r="AI196" s="44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44"/>
      <c r="AC197" s="44"/>
      <c r="AD197" s="44"/>
      <c r="AE197" s="44"/>
      <c r="AF197" s="44"/>
      <c r="AG197" s="44"/>
      <c r="AH197" s="44"/>
      <c r="AI197" s="44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44"/>
      <c r="AC198" s="44"/>
      <c r="AD198" s="44"/>
      <c r="AE198" s="44"/>
      <c r="AF198" s="44"/>
      <c r="AG198" s="44"/>
      <c r="AH198" s="44"/>
      <c r="AI198" s="44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44"/>
      <c r="AC199" s="44"/>
      <c r="AD199" s="44"/>
      <c r="AE199" s="44"/>
      <c r="AF199" s="44"/>
      <c r="AG199" s="44"/>
      <c r="AH199" s="44"/>
      <c r="AI199" s="44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44"/>
      <c r="AC200" s="44"/>
      <c r="AD200" s="44"/>
      <c r="AE200" s="44"/>
      <c r="AF200" s="44"/>
      <c r="AG200" s="44"/>
      <c r="AH200" s="44"/>
      <c r="AI200" s="44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44"/>
      <c r="AC201" s="44"/>
      <c r="AD201" s="44"/>
      <c r="AE201" s="44"/>
      <c r="AF201" s="44"/>
      <c r="AG201" s="44"/>
      <c r="AH201" s="44"/>
      <c r="AI201" s="44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44"/>
      <c r="AC202" s="44"/>
      <c r="AD202" s="44"/>
      <c r="AE202" s="44"/>
      <c r="AF202" s="44"/>
      <c r="AG202" s="44"/>
      <c r="AH202" s="44"/>
      <c r="AI202" s="44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44"/>
      <c r="AC203" s="44"/>
      <c r="AD203" s="44"/>
      <c r="AE203" s="44"/>
      <c r="AF203" s="44"/>
      <c r="AG203" s="44"/>
      <c r="AH203" s="44"/>
      <c r="AI203" s="44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44"/>
      <c r="AC204" s="44"/>
      <c r="AD204" s="44"/>
      <c r="AE204" s="44"/>
      <c r="AF204" s="44"/>
      <c r="AG204" s="44"/>
      <c r="AH204" s="44"/>
      <c r="AI204" s="44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44"/>
      <c r="AC205" s="44"/>
      <c r="AD205" s="44"/>
      <c r="AE205" s="44"/>
      <c r="AF205" s="44"/>
      <c r="AG205" s="44"/>
      <c r="AH205" s="44"/>
      <c r="AI205" s="44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44"/>
      <c r="AC206" s="44"/>
      <c r="AD206" s="44"/>
      <c r="AE206" s="44"/>
      <c r="AF206" s="44"/>
      <c r="AG206" s="44"/>
      <c r="AH206" s="44"/>
      <c r="AI206" s="44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44"/>
      <c r="AC207" s="44"/>
      <c r="AD207" s="44"/>
      <c r="AE207" s="44"/>
      <c r="AF207" s="44"/>
      <c r="AG207" s="44"/>
      <c r="AH207" s="44"/>
      <c r="AI207" s="44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44"/>
      <c r="AC208" s="44"/>
      <c r="AD208" s="44"/>
      <c r="AE208" s="44"/>
      <c r="AF208" s="44"/>
      <c r="AG208" s="44"/>
      <c r="AH208" s="44"/>
      <c r="AI208" s="44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44"/>
      <c r="AC209" s="44"/>
      <c r="AD209" s="44"/>
      <c r="AE209" s="44"/>
      <c r="AF209" s="44"/>
      <c r="AG209" s="44"/>
      <c r="AH209" s="44"/>
      <c r="AI209" s="44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44"/>
      <c r="AC210" s="44"/>
      <c r="AD210" s="44"/>
      <c r="AE210" s="44"/>
      <c r="AF210" s="44"/>
      <c r="AG210" s="44"/>
      <c r="AH210" s="44"/>
      <c r="AI210" s="44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44"/>
      <c r="AC211" s="44"/>
      <c r="AD211" s="44"/>
      <c r="AE211" s="44"/>
      <c r="AF211" s="44"/>
      <c r="AG211" s="44"/>
      <c r="AH211" s="44"/>
      <c r="AI211" s="44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44"/>
      <c r="AC212" s="44"/>
      <c r="AD212" s="44"/>
      <c r="AE212" s="44"/>
      <c r="AF212" s="44"/>
      <c r="AG212" s="44"/>
      <c r="AH212" s="44"/>
      <c r="AI212" s="44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44"/>
      <c r="AC213" s="44"/>
      <c r="AD213" s="44"/>
      <c r="AE213" s="44"/>
      <c r="AF213" s="44"/>
      <c r="AG213" s="44"/>
      <c r="AH213" s="44"/>
      <c r="AI213" s="44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44"/>
      <c r="AC214" s="44"/>
      <c r="AD214" s="44"/>
      <c r="AE214" s="44"/>
      <c r="AF214" s="44"/>
      <c r="AG214" s="44"/>
      <c r="AH214" s="44"/>
      <c r="AI214" s="44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44"/>
      <c r="AC215" s="44"/>
      <c r="AD215" s="44"/>
      <c r="AE215" s="44"/>
      <c r="AF215" s="44"/>
      <c r="AG215" s="44"/>
      <c r="AH215" s="44"/>
      <c r="AI215" s="44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44"/>
      <c r="AC216" s="44"/>
      <c r="AD216" s="44"/>
      <c r="AE216" s="44"/>
      <c r="AF216" s="44"/>
      <c r="AG216" s="44"/>
      <c r="AH216" s="44"/>
      <c r="AI216" s="44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44"/>
      <c r="AC217" s="44"/>
      <c r="AD217" s="44"/>
      <c r="AE217" s="44"/>
      <c r="AF217" s="44"/>
      <c r="AG217" s="44"/>
      <c r="AH217" s="44"/>
      <c r="AI217" s="44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44"/>
      <c r="AC218" s="44"/>
      <c r="AD218" s="44"/>
      <c r="AE218" s="44"/>
      <c r="AF218" s="44"/>
      <c r="AG218" s="44"/>
      <c r="AH218" s="44"/>
      <c r="AI218" s="44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44"/>
      <c r="AC219" s="44"/>
      <c r="AD219" s="44"/>
      <c r="AE219" s="44"/>
      <c r="AF219" s="44"/>
      <c r="AG219" s="44"/>
      <c r="AH219" s="44"/>
      <c r="AI219" s="44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44"/>
      <c r="AC220" s="44"/>
      <c r="AD220" s="44"/>
      <c r="AE220" s="44"/>
      <c r="AF220" s="44"/>
      <c r="AG220" s="44"/>
      <c r="AH220" s="44"/>
      <c r="AI220" s="44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44"/>
      <c r="AC221" s="44"/>
      <c r="AD221" s="44"/>
      <c r="AE221" s="44"/>
      <c r="AF221" s="44"/>
      <c r="AG221" s="44"/>
      <c r="AH221" s="44"/>
      <c r="AI221" s="44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44"/>
      <c r="AC222" s="44"/>
      <c r="AD222" s="44"/>
      <c r="AE222" s="44"/>
      <c r="AF222" s="44"/>
      <c r="AG222" s="44"/>
      <c r="AH222" s="44"/>
      <c r="AI222" s="44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44"/>
      <c r="AC223" s="44"/>
      <c r="AD223" s="44"/>
      <c r="AE223" s="44"/>
      <c r="AF223" s="44"/>
      <c r="AG223" s="44"/>
      <c r="AH223" s="44"/>
      <c r="AI223" s="44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44"/>
      <c r="AC224" s="44"/>
      <c r="AD224" s="44"/>
      <c r="AE224" s="44"/>
      <c r="AF224" s="44"/>
      <c r="AG224" s="44"/>
      <c r="AH224" s="44"/>
      <c r="AI224" s="44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44"/>
      <c r="AC225" s="44"/>
      <c r="AD225" s="44"/>
      <c r="AE225" s="44"/>
      <c r="AF225" s="44"/>
      <c r="AG225" s="44"/>
      <c r="AH225" s="44"/>
      <c r="AI225" s="44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44"/>
      <c r="AC226" s="44"/>
      <c r="AD226" s="44"/>
      <c r="AE226" s="44"/>
      <c r="AF226" s="44"/>
      <c r="AG226" s="44"/>
      <c r="AH226" s="44"/>
      <c r="AI226" s="44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44"/>
      <c r="AC227" s="44"/>
      <c r="AD227" s="44"/>
      <c r="AE227" s="44"/>
      <c r="AF227" s="44"/>
      <c r="AG227" s="44"/>
      <c r="AH227" s="44"/>
      <c r="AI227" s="44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44"/>
      <c r="AC228" s="44"/>
      <c r="AD228" s="44"/>
      <c r="AE228" s="44"/>
      <c r="AF228" s="44"/>
      <c r="AG228" s="44"/>
      <c r="AH228" s="44"/>
      <c r="AI228" s="44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44"/>
      <c r="AC229" s="44"/>
      <c r="AD229" s="44"/>
      <c r="AE229" s="44"/>
      <c r="AF229" s="44"/>
      <c r="AG229" s="44"/>
      <c r="AH229" s="44"/>
      <c r="AI229" s="44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44"/>
      <c r="AC230" s="44"/>
      <c r="AD230" s="44"/>
      <c r="AE230" s="44"/>
      <c r="AF230" s="44"/>
      <c r="AG230" s="44"/>
      <c r="AH230" s="44"/>
      <c r="AI230" s="44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44"/>
      <c r="AC231" s="44"/>
      <c r="AD231" s="44"/>
      <c r="AE231" s="44"/>
      <c r="AF231" s="44"/>
      <c r="AG231" s="44"/>
      <c r="AH231" s="44"/>
      <c r="AI231" s="44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44"/>
      <c r="AC232" s="44"/>
      <c r="AD232" s="44"/>
      <c r="AE232" s="44"/>
      <c r="AF232" s="44"/>
      <c r="AG232" s="44"/>
      <c r="AH232" s="44"/>
      <c r="AI232" s="44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44"/>
      <c r="AC233" s="44"/>
      <c r="AD233" s="44"/>
      <c r="AE233" s="44"/>
      <c r="AF233" s="44"/>
      <c r="AG233" s="44"/>
      <c r="AH233" s="44"/>
      <c r="AI233" s="44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44"/>
      <c r="AC234" s="44"/>
      <c r="AD234" s="44"/>
      <c r="AE234" s="44"/>
      <c r="AF234" s="44"/>
      <c r="AG234" s="44"/>
      <c r="AH234" s="44"/>
      <c r="AI234" s="44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44"/>
      <c r="AC235" s="44"/>
      <c r="AD235" s="44"/>
      <c r="AE235" s="44"/>
      <c r="AF235" s="44"/>
      <c r="AG235" s="44"/>
      <c r="AH235" s="44"/>
      <c r="AI235" s="44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44"/>
      <c r="AC236" s="44"/>
      <c r="AD236" s="44"/>
      <c r="AE236" s="44"/>
      <c r="AF236" s="44"/>
      <c r="AG236" s="44"/>
      <c r="AH236" s="44"/>
      <c r="AI236" s="44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44"/>
      <c r="AC237" s="44"/>
      <c r="AD237" s="44"/>
      <c r="AE237" s="44"/>
      <c r="AF237" s="44"/>
      <c r="AG237" s="44"/>
      <c r="AH237" s="44"/>
      <c r="AI237" s="44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44"/>
      <c r="AC238" s="44"/>
      <c r="AD238" s="44"/>
      <c r="AE238" s="44"/>
      <c r="AF238" s="44"/>
      <c r="AG238" s="44"/>
      <c r="AH238" s="44"/>
      <c r="AI238" s="44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44"/>
      <c r="AC239" s="44"/>
      <c r="AD239" s="44"/>
      <c r="AE239" s="44"/>
      <c r="AF239" s="44"/>
      <c r="AG239" s="44"/>
      <c r="AH239" s="44"/>
      <c r="AI239" s="44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44"/>
      <c r="AC240" s="44"/>
      <c r="AD240" s="44"/>
      <c r="AE240" s="44"/>
      <c r="AF240" s="44"/>
      <c r="AG240" s="44"/>
      <c r="AH240" s="44"/>
      <c r="AI240" s="44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44"/>
      <c r="AC241" s="44"/>
      <c r="AD241" s="44"/>
      <c r="AE241" s="44"/>
      <c r="AF241" s="44"/>
      <c r="AG241" s="44"/>
      <c r="AH241" s="44"/>
      <c r="AI241" s="44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44"/>
      <c r="AC242" s="44"/>
      <c r="AD242" s="44"/>
      <c r="AE242" s="44"/>
      <c r="AF242" s="44"/>
      <c r="AG242" s="44"/>
      <c r="AH242" s="44"/>
      <c r="AI242" s="44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44"/>
      <c r="AC243" s="44"/>
      <c r="AD243" s="44"/>
      <c r="AE243" s="44"/>
      <c r="AF243" s="44"/>
      <c r="AG243" s="44"/>
      <c r="AH243" s="44"/>
      <c r="AI243" s="44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44"/>
      <c r="AC244" s="44"/>
      <c r="AD244" s="44"/>
      <c r="AE244" s="44"/>
      <c r="AF244" s="44"/>
      <c r="AG244" s="44"/>
      <c r="AH244" s="44"/>
      <c r="AI244" s="44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44"/>
      <c r="AC245" s="44"/>
      <c r="AD245" s="44"/>
      <c r="AE245" s="44"/>
      <c r="AF245" s="44"/>
      <c r="AG245" s="44"/>
      <c r="AH245" s="44"/>
      <c r="AI245" s="44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44"/>
      <c r="AC246" s="44"/>
      <c r="AD246" s="44"/>
      <c r="AE246" s="44"/>
      <c r="AF246" s="44"/>
      <c r="AG246" s="44"/>
      <c r="AH246" s="44"/>
      <c r="AI246" s="44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44"/>
      <c r="AC247" s="44"/>
      <c r="AD247" s="44"/>
      <c r="AE247" s="44"/>
      <c r="AF247" s="44"/>
      <c r="AG247" s="44"/>
      <c r="AH247" s="44"/>
      <c r="AI247" s="44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44"/>
      <c r="AC248" s="44"/>
      <c r="AD248" s="44"/>
      <c r="AE248" s="44"/>
      <c r="AF248" s="44"/>
      <c r="AG248" s="44"/>
      <c r="AH248" s="44"/>
      <c r="AI248" s="44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44"/>
      <c r="AC249" s="44"/>
      <c r="AD249" s="44"/>
      <c r="AE249" s="44"/>
      <c r="AF249" s="44"/>
      <c r="AG249" s="44"/>
      <c r="AH249" s="44"/>
      <c r="AI249" s="44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44"/>
      <c r="AC250" s="44"/>
      <c r="AD250" s="44"/>
      <c r="AE250" s="44"/>
      <c r="AF250" s="44"/>
      <c r="AG250" s="44"/>
      <c r="AH250" s="44"/>
      <c r="AI250" s="44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44"/>
      <c r="AC251" s="44"/>
      <c r="AD251" s="44"/>
      <c r="AE251" s="44"/>
      <c r="AF251" s="44"/>
      <c r="AG251" s="44"/>
      <c r="AH251" s="44"/>
      <c r="AI251" s="44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44"/>
      <c r="AC252" s="44"/>
      <c r="AD252" s="44"/>
      <c r="AE252" s="44"/>
      <c r="AF252" s="44"/>
      <c r="AG252" s="44"/>
      <c r="AH252" s="44"/>
      <c r="AI252" s="44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44"/>
      <c r="AC253" s="44"/>
      <c r="AD253" s="44"/>
      <c r="AE253" s="44"/>
      <c r="AF253" s="44"/>
      <c r="AG253" s="44"/>
      <c r="AH253" s="44"/>
      <c r="AI253" s="44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44"/>
      <c r="AC254" s="44"/>
      <c r="AD254" s="44"/>
      <c r="AE254" s="44"/>
      <c r="AF254" s="44"/>
      <c r="AG254" s="44"/>
      <c r="AH254" s="44"/>
      <c r="AI254" s="44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44"/>
      <c r="AC255" s="44"/>
      <c r="AD255" s="44"/>
      <c r="AE255" s="44"/>
      <c r="AF255" s="44"/>
      <c r="AG255" s="44"/>
      <c r="AH255" s="44"/>
      <c r="AI255" s="44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44"/>
      <c r="AC256" s="44"/>
      <c r="AD256" s="44"/>
      <c r="AE256" s="44"/>
      <c r="AF256" s="44"/>
      <c r="AG256" s="44"/>
      <c r="AH256" s="44"/>
      <c r="AI256" s="44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44"/>
      <c r="AC257" s="44"/>
      <c r="AD257" s="44"/>
      <c r="AE257" s="44"/>
      <c r="AF257" s="44"/>
      <c r="AG257" s="44"/>
      <c r="AH257" s="44"/>
      <c r="AI257" s="44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44"/>
      <c r="AC258" s="44"/>
      <c r="AD258" s="44"/>
      <c r="AE258" s="44"/>
      <c r="AF258" s="44"/>
      <c r="AG258" s="44"/>
      <c r="AH258" s="44"/>
      <c r="AI258" s="44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44"/>
      <c r="AC259" s="44"/>
      <c r="AD259" s="44"/>
      <c r="AE259" s="44"/>
      <c r="AF259" s="44"/>
      <c r="AG259" s="44"/>
      <c r="AH259" s="44"/>
      <c r="AI259" s="44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44"/>
      <c r="AC260" s="44"/>
      <c r="AD260" s="44"/>
      <c r="AE260" s="44"/>
      <c r="AF260" s="44"/>
      <c r="AG260" s="44"/>
      <c r="AH260" s="44"/>
      <c r="AI260" s="44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44"/>
      <c r="AC261" s="44"/>
      <c r="AD261" s="44"/>
      <c r="AE261" s="44"/>
      <c r="AF261" s="44"/>
      <c r="AG261" s="44"/>
      <c r="AH261" s="44"/>
      <c r="AI261" s="44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44"/>
      <c r="AC262" s="44"/>
      <c r="AD262" s="44"/>
      <c r="AE262" s="44"/>
      <c r="AF262" s="44"/>
      <c r="AG262" s="44"/>
      <c r="AH262" s="44"/>
      <c r="AI262" s="44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44"/>
      <c r="AC263" s="44"/>
      <c r="AD263" s="44"/>
      <c r="AE263" s="44"/>
      <c r="AF263" s="44"/>
      <c r="AG263" s="44"/>
      <c r="AH263" s="44"/>
      <c r="AI263" s="44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44"/>
      <c r="AC264" s="44"/>
      <c r="AD264" s="44"/>
      <c r="AE264" s="44"/>
      <c r="AF264" s="44"/>
      <c r="AG264" s="44"/>
      <c r="AH264" s="44"/>
      <c r="AI264" s="44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44"/>
      <c r="AC265" s="44"/>
      <c r="AD265" s="44"/>
      <c r="AE265" s="44"/>
      <c r="AF265" s="44"/>
      <c r="AG265" s="44"/>
      <c r="AH265" s="44"/>
      <c r="AI265" s="44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44"/>
      <c r="AC266" s="44"/>
      <c r="AD266" s="44"/>
      <c r="AE266" s="44"/>
      <c r="AF266" s="44"/>
      <c r="AG266" s="44"/>
      <c r="AH266" s="44"/>
      <c r="AI266" s="44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44"/>
      <c r="AC267" s="44"/>
      <c r="AD267" s="44"/>
      <c r="AE267" s="44"/>
      <c r="AF267" s="44"/>
      <c r="AG267" s="44"/>
      <c r="AH267" s="44"/>
      <c r="AI267" s="44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44"/>
      <c r="AC268" s="44"/>
      <c r="AD268" s="44"/>
      <c r="AE268" s="44"/>
      <c r="AF268" s="44"/>
      <c r="AG268" s="44"/>
      <c r="AH268" s="44"/>
      <c r="AI268" s="44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44"/>
      <c r="AC269" s="44"/>
      <c r="AD269" s="44"/>
      <c r="AE269" s="44"/>
      <c r="AF269" s="44"/>
      <c r="AG269" s="44"/>
      <c r="AH269" s="44"/>
      <c r="AI269" s="44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44"/>
      <c r="AC270" s="44"/>
      <c r="AD270" s="44"/>
      <c r="AE270" s="44"/>
      <c r="AF270" s="44"/>
      <c r="AG270" s="44"/>
      <c r="AH270" s="44"/>
      <c r="AI270" s="44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44"/>
      <c r="AC271" s="44"/>
      <c r="AD271" s="44"/>
      <c r="AE271" s="44"/>
      <c r="AF271" s="44"/>
      <c r="AG271" s="44"/>
      <c r="AH271" s="44"/>
      <c r="AI271" s="44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44"/>
      <c r="AC272" s="44"/>
      <c r="AD272" s="44"/>
      <c r="AE272" s="44"/>
      <c r="AF272" s="44"/>
      <c r="AG272" s="44"/>
      <c r="AH272" s="44"/>
      <c r="AI272" s="44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44"/>
      <c r="AC273" s="44"/>
      <c r="AD273" s="44"/>
      <c r="AE273" s="44"/>
      <c r="AF273" s="44"/>
      <c r="AG273" s="44"/>
      <c r="AH273" s="44"/>
      <c r="AI273" s="44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44"/>
      <c r="AC274" s="44"/>
      <c r="AD274" s="44"/>
      <c r="AE274" s="44"/>
      <c r="AF274" s="44"/>
      <c r="AG274" s="44"/>
      <c r="AH274" s="44"/>
      <c r="AI274" s="44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44"/>
      <c r="AC275" s="44"/>
      <c r="AD275" s="44"/>
      <c r="AE275" s="44"/>
      <c r="AF275" s="44"/>
      <c r="AG275" s="44"/>
      <c r="AH275" s="44"/>
      <c r="AI275" s="44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44"/>
      <c r="AC276" s="44"/>
      <c r="AD276" s="44"/>
      <c r="AE276" s="44"/>
      <c r="AF276" s="44"/>
      <c r="AG276" s="44"/>
      <c r="AH276" s="44"/>
      <c r="AI276" s="44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44"/>
      <c r="AC277" s="44"/>
      <c r="AD277" s="44"/>
      <c r="AE277" s="44"/>
      <c r="AF277" s="44"/>
      <c r="AG277" s="44"/>
      <c r="AH277" s="44"/>
      <c r="AI277" s="44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44"/>
      <c r="AC278" s="44"/>
      <c r="AD278" s="44"/>
      <c r="AE278" s="44"/>
      <c r="AF278" s="44"/>
      <c r="AG278" s="44"/>
      <c r="AH278" s="44"/>
      <c r="AI278" s="44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44"/>
      <c r="AC279" s="44"/>
      <c r="AD279" s="44"/>
      <c r="AE279" s="44"/>
      <c r="AF279" s="44"/>
      <c r="AG279" s="44"/>
      <c r="AH279" s="44"/>
      <c r="AI279" s="44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44"/>
      <c r="AC280" s="44"/>
      <c r="AD280" s="44"/>
      <c r="AE280" s="44"/>
      <c r="AF280" s="44"/>
      <c r="AG280" s="44"/>
      <c r="AH280" s="44"/>
      <c r="AI280" s="44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44"/>
      <c r="AC281" s="44"/>
      <c r="AD281" s="44"/>
      <c r="AE281" s="44"/>
      <c r="AF281" s="44"/>
      <c r="AG281" s="44"/>
      <c r="AH281" s="44"/>
      <c r="AI281" s="44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44"/>
      <c r="AC282" s="44"/>
      <c r="AD282" s="44"/>
      <c r="AE282" s="44"/>
      <c r="AF282" s="44"/>
      <c r="AG282" s="44"/>
      <c r="AH282" s="44"/>
      <c r="AI282" s="44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44"/>
      <c r="AC283" s="44"/>
      <c r="AD283" s="44"/>
      <c r="AE283" s="44"/>
      <c r="AF283" s="44"/>
      <c r="AG283" s="44"/>
      <c r="AH283" s="44"/>
      <c r="AI283" s="44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44"/>
      <c r="AC284" s="44"/>
      <c r="AD284" s="44"/>
      <c r="AE284" s="44"/>
      <c r="AF284" s="44"/>
      <c r="AG284" s="44"/>
      <c r="AH284" s="44"/>
      <c r="AI284" s="44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44"/>
      <c r="AC285" s="44"/>
      <c r="AD285" s="44"/>
      <c r="AE285" s="44"/>
      <c r="AF285" s="44"/>
      <c r="AG285" s="44"/>
      <c r="AH285" s="44"/>
      <c r="AI285" s="44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44"/>
      <c r="AC286" s="44"/>
      <c r="AD286" s="44"/>
      <c r="AE286" s="44"/>
      <c r="AF286" s="44"/>
      <c r="AG286" s="44"/>
      <c r="AH286" s="44"/>
      <c r="AI286" s="44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44"/>
      <c r="AC287" s="44"/>
      <c r="AD287" s="44"/>
      <c r="AE287" s="44"/>
      <c r="AF287" s="44"/>
      <c r="AG287" s="44"/>
      <c r="AH287" s="44"/>
      <c r="AI287" s="44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44"/>
      <c r="AC288" s="44"/>
      <c r="AD288" s="44"/>
      <c r="AE288" s="44"/>
      <c r="AF288" s="44"/>
      <c r="AG288" s="44"/>
      <c r="AH288" s="44"/>
      <c r="AI288" s="44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44"/>
      <c r="AC289" s="44"/>
      <c r="AD289" s="44"/>
      <c r="AE289" s="44"/>
      <c r="AF289" s="44"/>
      <c r="AG289" s="44"/>
      <c r="AH289" s="44"/>
      <c r="AI289" s="44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44"/>
      <c r="AC290" s="44"/>
      <c r="AD290" s="44"/>
      <c r="AE290" s="44"/>
      <c r="AF290" s="44"/>
      <c r="AG290" s="44"/>
      <c r="AH290" s="44"/>
      <c r="AI290" s="44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44"/>
      <c r="AC291" s="44"/>
      <c r="AD291" s="44"/>
      <c r="AE291" s="44"/>
      <c r="AF291" s="44"/>
      <c r="AG291" s="44"/>
      <c r="AH291" s="44"/>
      <c r="AI291" s="44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44"/>
      <c r="AC292" s="44"/>
      <c r="AD292" s="44"/>
      <c r="AE292" s="44"/>
      <c r="AF292" s="44"/>
      <c r="AG292" s="44"/>
      <c r="AH292" s="44"/>
      <c r="AI292" s="44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44"/>
      <c r="AC293" s="44"/>
      <c r="AD293" s="44"/>
      <c r="AE293" s="44"/>
      <c r="AF293" s="44"/>
      <c r="AG293" s="44"/>
      <c r="AH293" s="44"/>
      <c r="AI293" s="44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44"/>
      <c r="AC294" s="44"/>
      <c r="AD294" s="44"/>
      <c r="AE294" s="44"/>
      <c r="AF294" s="44"/>
      <c r="AG294" s="44"/>
      <c r="AH294" s="44"/>
      <c r="AI294" s="44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44"/>
      <c r="AC295" s="44"/>
      <c r="AD295" s="44"/>
      <c r="AE295" s="44"/>
      <c r="AF295" s="44"/>
      <c r="AG295" s="44"/>
      <c r="AH295" s="44"/>
      <c r="AI295" s="44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44"/>
      <c r="AC296" s="44"/>
      <c r="AD296" s="44"/>
      <c r="AE296" s="44"/>
      <c r="AF296" s="44"/>
      <c r="AG296" s="44"/>
      <c r="AH296" s="44"/>
      <c r="AI296" s="44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44"/>
      <c r="AC297" s="44"/>
      <c r="AD297" s="44"/>
      <c r="AE297" s="44"/>
      <c r="AF297" s="44"/>
      <c r="AG297" s="44"/>
      <c r="AH297" s="44"/>
      <c r="AI297" s="44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44"/>
      <c r="AC298" s="44"/>
      <c r="AD298" s="44"/>
      <c r="AE298" s="44"/>
      <c r="AF298" s="44"/>
      <c r="AG298" s="44"/>
      <c r="AH298" s="44"/>
      <c r="AI298" s="44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44"/>
      <c r="AC299" s="44"/>
      <c r="AD299" s="44"/>
      <c r="AE299" s="44"/>
      <c r="AF299" s="44"/>
      <c r="AG299" s="44"/>
      <c r="AH299" s="44"/>
      <c r="AI299" s="44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44"/>
      <c r="AC300" s="44"/>
      <c r="AD300" s="44"/>
      <c r="AE300" s="44"/>
      <c r="AF300" s="44"/>
      <c r="AG300" s="44"/>
      <c r="AH300" s="44"/>
      <c r="AI300" s="44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44"/>
      <c r="AC301" s="44"/>
      <c r="AD301" s="44"/>
      <c r="AE301" s="44"/>
      <c r="AF301" s="44"/>
      <c r="AG301" s="44"/>
      <c r="AH301" s="44"/>
      <c r="AI301" s="44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44"/>
      <c r="AC302" s="44"/>
      <c r="AD302" s="44"/>
      <c r="AE302" s="44"/>
      <c r="AF302" s="44"/>
      <c r="AG302" s="44"/>
      <c r="AH302" s="44"/>
      <c r="AI302" s="44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44"/>
      <c r="AC303" s="44"/>
      <c r="AD303" s="44"/>
      <c r="AE303" s="44"/>
      <c r="AF303" s="44"/>
      <c r="AG303" s="44"/>
      <c r="AH303" s="44"/>
      <c r="AI303" s="44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44"/>
      <c r="AC304" s="44"/>
      <c r="AD304" s="44"/>
      <c r="AE304" s="44"/>
      <c r="AF304" s="44"/>
      <c r="AG304" s="44"/>
      <c r="AH304" s="44"/>
      <c r="AI304" s="44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44"/>
      <c r="AC305" s="44"/>
      <c r="AD305" s="44"/>
      <c r="AE305" s="44"/>
      <c r="AF305" s="44"/>
      <c r="AG305" s="44"/>
      <c r="AH305" s="44"/>
      <c r="AI305" s="44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44"/>
      <c r="AC306" s="44"/>
      <c r="AD306" s="44"/>
      <c r="AE306" s="44"/>
      <c r="AF306" s="44"/>
      <c r="AG306" s="44"/>
      <c r="AH306" s="44"/>
      <c r="AI306" s="44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44"/>
      <c r="AC307" s="44"/>
      <c r="AD307" s="44"/>
      <c r="AE307" s="44"/>
      <c r="AF307" s="44"/>
      <c r="AG307" s="44"/>
      <c r="AH307" s="44"/>
      <c r="AI307" s="44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44"/>
      <c r="AC308" s="44"/>
      <c r="AD308" s="44"/>
      <c r="AE308" s="44"/>
      <c r="AF308" s="44"/>
      <c r="AG308" s="44"/>
      <c r="AH308" s="44"/>
      <c r="AI308" s="44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44"/>
      <c r="AC309" s="44"/>
      <c r="AD309" s="44"/>
      <c r="AE309" s="44"/>
      <c r="AF309" s="44"/>
      <c r="AG309" s="44"/>
      <c r="AH309" s="44"/>
      <c r="AI309" s="44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44"/>
      <c r="AC310" s="44"/>
      <c r="AD310" s="44"/>
      <c r="AE310" s="44"/>
      <c r="AF310" s="44"/>
      <c r="AG310" s="44"/>
      <c r="AH310" s="44"/>
      <c r="AI310" s="44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44"/>
      <c r="AC311" s="44"/>
      <c r="AD311" s="44"/>
      <c r="AE311" s="44"/>
      <c r="AF311" s="44"/>
      <c r="AG311" s="44"/>
      <c r="AH311" s="44"/>
      <c r="AI311" s="44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44"/>
      <c r="AC312" s="44"/>
      <c r="AD312" s="44"/>
      <c r="AE312" s="44"/>
      <c r="AF312" s="44"/>
      <c r="AG312" s="44"/>
      <c r="AH312" s="44"/>
      <c r="AI312" s="44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44"/>
      <c r="AC313" s="44"/>
      <c r="AD313" s="44"/>
      <c r="AE313" s="44"/>
      <c r="AF313" s="44"/>
      <c r="AG313" s="44"/>
      <c r="AH313" s="44"/>
      <c r="AI313" s="44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44"/>
      <c r="AC314" s="44"/>
      <c r="AD314" s="44"/>
      <c r="AE314" s="44"/>
      <c r="AF314" s="44"/>
      <c r="AG314" s="44"/>
      <c r="AH314" s="44"/>
      <c r="AI314" s="44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44"/>
      <c r="AC315" s="44"/>
      <c r="AD315" s="44"/>
      <c r="AE315" s="44"/>
      <c r="AF315" s="44"/>
      <c r="AG315" s="44"/>
      <c r="AH315" s="44"/>
      <c r="AI315" s="44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44"/>
      <c r="AC316" s="44"/>
      <c r="AD316" s="44"/>
      <c r="AE316" s="44"/>
      <c r="AF316" s="44"/>
      <c r="AG316" s="44"/>
      <c r="AH316" s="44"/>
      <c r="AI316" s="44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44"/>
      <c r="AC317" s="44"/>
      <c r="AD317" s="44"/>
      <c r="AE317" s="44"/>
      <c r="AF317" s="44"/>
      <c r="AG317" s="44"/>
      <c r="AH317" s="44"/>
      <c r="AI317" s="44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44"/>
      <c r="AC318" s="44"/>
      <c r="AD318" s="44"/>
      <c r="AE318" s="44"/>
      <c r="AF318" s="44"/>
      <c r="AG318" s="44"/>
      <c r="AH318" s="44"/>
      <c r="AI318" s="44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44"/>
      <c r="AC319" s="44"/>
      <c r="AD319" s="44"/>
      <c r="AE319" s="44"/>
      <c r="AF319" s="44"/>
      <c r="AG319" s="44"/>
      <c r="AH319" s="44"/>
      <c r="AI319" s="44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44"/>
      <c r="AC320" s="44"/>
      <c r="AD320" s="44"/>
      <c r="AE320" s="44"/>
      <c r="AF320" s="44"/>
      <c r="AG320" s="44"/>
      <c r="AH320" s="44"/>
      <c r="AI320" s="44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44"/>
      <c r="AC321" s="44"/>
      <c r="AD321" s="44"/>
      <c r="AE321" s="44"/>
      <c r="AF321" s="44"/>
      <c r="AG321" s="44"/>
      <c r="AH321" s="44"/>
      <c r="AI321" s="44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44"/>
      <c r="AC322" s="44"/>
      <c r="AD322" s="44"/>
      <c r="AE322" s="44"/>
      <c r="AF322" s="44"/>
      <c r="AG322" s="44"/>
      <c r="AH322" s="44"/>
      <c r="AI322" s="44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44"/>
      <c r="AC323" s="44"/>
      <c r="AD323" s="44"/>
      <c r="AE323" s="44"/>
      <c r="AF323" s="44"/>
      <c r="AG323" s="44"/>
      <c r="AH323" s="44"/>
      <c r="AI323" s="44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44"/>
      <c r="AC324" s="44"/>
      <c r="AD324" s="44"/>
      <c r="AE324" s="44"/>
      <c r="AF324" s="44"/>
      <c r="AG324" s="44"/>
      <c r="AH324" s="44"/>
      <c r="AI324" s="44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44"/>
      <c r="AC325" s="44"/>
      <c r="AD325" s="44"/>
      <c r="AE325" s="44"/>
      <c r="AF325" s="44"/>
      <c r="AG325" s="44"/>
      <c r="AH325" s="44"/>
      <c r="AI325" s="44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44"/>
      <c r="AC326" s="44"/>
      <c r="AD326" s="44"/>
      <c r="AE326" s="44"/>
      <c r="AF326" s="44"/>
      <c r="AG326" s="44"/>
      <c r="AH326" s="44"/>
      <c r="AI326" s="44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44"/>
      <c r="AC327" s="44"/>
      <c r="AD327" s="44"/>
      <c r="AE327" s="44"/>
      <c r="AF327" s="44"/>
      <c r="AG327" s="44"/>
      <c r="AH327" s="44"/>
      <c r="AI327" s="44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44"/>
      <c r="AC328" s="44"/>
      <c r="AD328" s="44"/>
      <c r="AE328" s="44"/>
      <c r="AF328" s="44"/>
      <c r="AG328" s="44"/>
      <c r="AH328" s="44"/>
      <c r="AI328" s="44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44"/>
      <c r="AC329" s="44"/>
      <c r="AD329" s="44"/>
      <c r="AE329" s="44"/>
      <c r="AF329" s="44"/>
      <c r="AG329" s="44"/>
      <c r="AH329" s="44"/>
      <c r="AI329" s="44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44"/>
      <c r="AC330" s="44"/>
      <c r="AD330" s="44"/>
      <c r="AE330" s="44"/>
      <c r="AF330" s="44"/>
      <c r="AG330" s="44"/>
      <c r="AH330" s="44"/>
      <c r="AI330" s="44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44"/>
      <c r="AC331" s="44"/>
      <c r="AD331" s="44"/>
      <c r="AE331" s="44"/>
      <c r="AF331" s="44"/>
      <c r="AG331" s="44"/>
      <c r="AH331" s="44"/>
      <c r="AI331" s="44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44"/>
      <c r="AC332" s="44"/>
      <c r="AD332" s="44"/>
      <c r="AE332" s="44"/>
      <c r="AF332" s="44"/>
      <c r="AG332" s="44"/>
      <c r="AH332" s="44"/>
      <c r="AI332" s="44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44"/>
      <c r="AC333" s="44"/>
      <c r="AD333" s="44"/>
      <c r="AE333" s="44"/>
      <c r="AF333" s="44"/>
      <c r="AG333" s="44"/>
      <c r="AH333" s="44"/>
      <c r="AI333" s="44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44"/>
      <c r="AC334" s="44"/>
      <c r="AD334" s="44"/>
      <c r="AE334" s="44"/>
      <c r="AF334" s="44"/>
      <c r="AG334" s="44"/>
      <c r="AH334" s="44"/>
      <c r="AI334" s="44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44"/>
      <c r="AC335" s="44"/>
      <c r="AD335" s="44"/>
      <c r="AE335" s="44"/>
      <c r="AF335" s="44"/>
      <c r="AG335" s="44"/>
      <c r="AH335" s="44"/>
      <c r="AI335" s="44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44"/>
      <c r="AC336" s="44"/>
      <c r="AD336" s="44"/>
      <c r="AE336" s="44"/>
      <c r="AF336" s="44"/>
      <c r="AG336" s="44"/>
      <c r="AH336" s="44"/>
      <c r="AI336" s="44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44"/>
      <c r="AC337" s="44"/>
      <c r="AD337" s="44"/>
      <c r="AE337" s="44"/>
      <c r="AF337" s="44"/>
      <c r="AG337" s="44"/>
      <c r="AH337" s="44"/>
      <c r="AI337" s="44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44"/>
      <c r="AC338" s="44"/>
      <c r="AD338" s="44"/>
      <c r="AE338" s="44"/>
      <c r="AF338" s="44"/>
      <c r="AG338" s="44"/>
      <c r="AH338" s="44"/>
      <c r="AI338" s="44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44"/>
      <c r="AC339" s="44"/>
      <c r="AD339" s="44"/>
      <c r="AE339" s="44"/>
      <c r="AF339" s="44"/>
      <c r="AG339" s="44"/>
      <c r="AH339" s="44"/>
      <c r="AI339" s="44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44"/>
      <c r="AC340" s="44"/>
      <c r="AD340" s="44"/>
      <c r="AE340" s="44"/>
      <c r="AF340" s="44"/>
      <c r="AG340" s="44"/>
      <c r="AH340" s="44"/>
      <c r="AI340" s="44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44"/>
      <c r="AC341" s="44"/>
      <c r="AD341" s="44"/>
      <c r="AE341" s="44"/>
      <c r="AF341" s="44"/>
      <c r="AG341" s="44"/>
      <c r="AH341" s="44"/>
      <c r="AI341" s="44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44"/>
      <c r="AC342" s="44"/>
      <c r="AD342" s="44"/>
      <c r="AE342" s="44"/>
      <c r="AF342" s="44"/>
      <c r="AG342" s="44"/>
      <c r="AH342" s="44"/>
      <c r="AI342" s="44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44"/>
      <c r="AC343" s="44"/>
      <c r="AD343" s="44"/>
      <c r="AE343" s="44"/>
      <c r="AF343" s="44"/>
      <c r="AG343" s="44"/>
      <c r="AH343" s="44"/>
      <c r="AI343" s="44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44"/>
      <c r="AC344" s="44"/>
      <c r="AD344" s="44"/>
      <c r="AE344" s="44"/>
      <c r="AF344" s="44"/>
      <c r="AG344" s="44"/>
      <c r="AH344" s="44"/>
      <c r="AI344" s="44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44"/>
      <c r="AC345" s="44"/>
      <c r="AD345" s="44"/>
      <c r="AE345" s="44"/>
      <c r="AF345" s="44"/>
      <c r="AG345" s="44"/>
      <c r="AH345" s="44"/>
      <c r="AI345" s="44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44"/>
      <c r="AC346" s="44"/>
      <c r="AD346" s="44"/>
      <c r="AE346" s="44"/>
      <c r="AF346" s="44"/>
      <c r="AG346" s="44"/>
      <c r="AH346" s="44"/>
      <c r="AI346" s="44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44"/>
      <c r="AC347" s="44"/>
      <c r="AD347" s="44"/>
      <c r="AE347" s="44"/>
      <c r="AF347" s="44"/>
      <c r="AG347" s="44"/>
      <c r="AH347" s="44"/>
      <c r="AI347" s="44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44"/>
      <c r="AC348" s="44"/>
      <c r="AD348" s="44"/>
      <c r="AE348" s="44"/>
      <c r="AF348" s="44"/>
      <c r="AG348" s="44"/>
      <c r="AH348" s="44"/>
      <c r="AI348" s="44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44"/>
      <c r="AC349" s="44"/>
      <c r="AD349" s="44"/>
      <c r="AE349" s="44"/>
      <c r="AF349" s="44"/>
      <c r="AG349" s="44"/>
      <c r="AH349" s="44"/>
      <c r="AI349" s="44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44"/>
      <c r="AC350" s="44"/>
      <c r="AD350" s="44"/>
      <c r="AE350" s="44"/>
      <c r="AF350" s="44"/>
      <c r="AG350" s="44"/>
      <c r="AH350" s="44"/>
      <c r="AI350" s="44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44"/>
      <c r="AC351" s="44"/>
      <c r="AD351" s="44"/>
      <c r="AE351" s="44"/>
      <c r="AF351" s="44"/>
      <c r="AG351" s="44"/>
      <c r="AH351" s="44"/>
      <c r="AI351" s="44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44"/>
      <c r="AC352" s="44"/>
      <c r="AD352" s="44"/>
      <c r="AE352" s="44"/>
      <c r="AF352" s="44"/>
      <c r="AG352" s="44"/>
      <c r="AH352" s="44"/>
      <c r="AI352" s="44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44"/>
      <c r="AC353" s="44"/>
      <c r="AD353" s="44"/>
      <c r="AE353" s="44"/>
      <c r="AF353" s="44"/>
      <c r="AG353" s="44"/>
      <c r="AH353" s="44"/>
      <c r="AI353" s="44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44"/>
      <c r="AC354" s="44"/>
      <c r="AD354" s="44"/>
      <c r="AE354" s="44"/>
      <c r="AF354" s="44"/>
      <c r="AG354" s="44"/>
      <c r="AH354" s="44"/>
      <c r="AI354" s="44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44"/>
      <c r="AC355" s="44"/>
      <c r="AD355" s="44"/>
      <c r="AE355" s="44"/>
      <c r="AF355" s="44"/>
      <c r="AG355" s="44"/>
      <c r="AH355" s="44"/>
      <c r="AI355" s="44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44"/>
      <c r="AC356" s="44"/>
      <c r="AD356" s="44"/>
      <c r="AE356" s="44"/>
      <c r="AF356" s="44"/>
      <c r="AG356" s="44"/>
      <c r="AH356" s="44"/>
      <c r="AI356" s="44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44"/>
      <c r="AC357" s="44"/>
      <c r="AD357" s="44"/>
      <c r="AE357" s="44"/>
      <c r="AF357" s="44"/>
      <c r="AG357" s="44"/>
      <c r="AH357" s="44"/>
      <c r="AI357" s="44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44"/>
      <c r="AC358" s="44"/>
      <c r="AD358" s="44"/>
      <c r="AE358" s="44"/>
      <c r="AF358" s="44"/>
      <c r="AG358" s="44"/>
      <c r="AH358" s="44"/>
      <c r="AI358" s="44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44"/>
      <c r="AC359" s="44"/>
      <c r="AD359" s="44"/>
      <c r="AE359" s="44"/>
      <c r="AF359" s="44"/>
      <c r="AG359" s="44"/>
      <c r="AH359" s="44"/>
      <c r="AI359" s="44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44"/>
      <c r="AC360" s="44"/>
      <c r="AD360" s="44"/>
      <c r="AE360" s="44"/>
      <c r="AF360" s="44"/>
      <c r="AG360" s="44"/>
      <c r="AH360" s="44"/>
      <c r="AI360" s="44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44"/>
      <c r="AC361" s="44"/>
      <c r="AD361" s="44"/>
      <c r="AE361" s="44"/>
      <c r="AF361" s="44"/>
      <c r="AG361" s="44"/>
      <c r="AH361" s="44"/>
      <c r="AI361" s="44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44"/>
      <c r="AC362" s="44"/>
      <c r="AD362" s="44"/>
      <c r="AE362" s="44"/>
      <c r="AF362" s="44"/>
      <c r="AG362" s="44"/>
      <c r="AH362" s="44"/>
      <c r="AI362" s="44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44"/>
      <c r="AC363" s="44"/>
      <c r="AD363" s="44"/>
      <c r="AE363" s="44"/>
      <c r="AF363" s="44"/>
      <c r="AG363" s="44"/>
      <c r="AH363" s="44"/>
      <c r="AI363" s="44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44"/>
      <c r="AC364" s="44"/>
      <c r="AD364" s="44"/>
      <c r="AE364" s="44"/>
      <c r="AF364" s="44"/>
      <c r="AG364" s="44"/>
      <c r="AH364" s="44"/>
      <c r="AI364" s="44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44"/>
      <c r="AC365" s="44"/>
      <c r="AD365" s="44"/>
      <c r="AE365" s="44"/>
      <c r="AF365" s="44"/>
      <c r="AG365" s="44"/>
      <c r="AH365" s="44"/>
      <c r="AI365" s="44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44"/>
      <c r="AC366" s="44"/>
      <c r="AD366" s="44"/>
      <c r="AE366" s="44"/>
      <c r="AF366" s="44"/>
      <c r="AG366" s="44"/>
      <c r="AH366" s="44"/>
      <c r="AI366" s="44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44"/>
      <c r="AC367" s="44"/>
      <c r="AD367" s="44"/>
      <c r="AE367" s="44"/>
      <c r="AF367" s="44"/>
      <c r="AG367" s="44"/>
      <c r="AH367" s="44"/>
      <c r="AI367" s="44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44"/>
      <c r="AC368" s="44"/>
      <c r="AD368" s="44"/>
      <c r="AE368" s="44"/>
      <c r="AF368" s="44"/>
      <c r="AG368" s="44"/>
      <c r="AH368" s="44"/>
      <c r="AI368" s="44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44"/>
      <c r="AC369" s="44"/>
      <c r="AD369" s="44"/>
      <c r="AE369" s="44"/>
      <c r="AF369" s="44"/>
      <c r="AG369" s="44"/>
      <c r="AH369" s="44"/>
      <c r="AI369" s="44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44"/>
      <c r="AC370" s="44"/>
      <c r="AD370" s="44"/>
      <c r="AE370" s="44"/>
      <c r="AF370" s="44"/>
      <c r="AG370" s="44"/>
      <c r="AH370" s="44"/>
      <c r="AI370" s="44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44"/>
      <c r="AC371" s="44"/>
      <c r="AD371" s="44"/>
      <c r="AE371" s="44"/>
      <c r="AF371" s="44"/>
      <c r="AG371" s="44"/>
      <c r="AH371" s="44"/>
      <c r="AI371" s="44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44"/>
      <c r="AC372" s="44"/>
      <c r="AD372" s="44"/>
      <c r="AE372" s="44"/>
      <c r="AF372" s="44"/>
      <c r="AG372" s="44"/>
      <c r="AH372" s="44"/>
      <c r="AI372" s="44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44"/>
      <c r="AC373" s="44"/>
      <c r="AD373" s="44"/>
      <c r="AE373" s="44"/>
      <c r="AF373" s="44"/>
      <c r="AG373" s="44"/>
      <c r="AH373" s="44"/>
      <c r="AI373" s="44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44"/>
      <c r="AC374" s="44"/>
      <c r="AD374" s="44"/>
      <c r="AE374" s="44"/>
      <c r="AF374" s="44"/>
      <c r="AG374" s="44"/>
      <c r="AH374" s="44"/>
      <c r="AI374" s="44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44"/>
      <c r="AC375" s="44"/>
      <c r="AD375" s="44"/>
      <c r="AE375" s="44"/>
      <c r="AF375" s="44"/>
      <c r="AG375" s="44"/>
      <c r="AH375" s="44"/>
      <c r="AI375" s="44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44"/>
      <c r="AC376" s="44"/>
      <c r="AD376" s="44"/>
      <c r="AE376" s="44"/>
      <c r="AF376" s="44"/>
      <c r="AG376" s="44"/>
      <c r="AH376" s="44"/>
      <c r="AI376" s="44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44"/>
      <c r="AC377" s="44"/>
      <c r="AD377" s="44"/>
      <c r="AE377" s="44"/>
      <c r="AF377" s="44"/>
      <c r="AG377" s="44"/>
      <c r="AH377" s="44"/>
      <c r="AI377" s="44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44"/>
      <c r="AC378" s="44"/>
      <c r="AD378" s="44"/>
      <c r="AE378" s="44"/>
      <c r="AF378" s="44"/>
      <c r="AG378" s="44"/>
      <c r="AH378" s="44"/>
      <c r="AI378" s="44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44"/>
      <c r="AC379" s="44"/>
      <c r="AD379" s="44"/>
      <c r="AE379" s="44"/>
      <c r="AF379" s="44"/>
      <c r="AG379" s="44"/>
      <c r="AH379" s="44"/>
      <c r="AI379" s="44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44"/>
      <c r="AC380" s="44"/>
      <c r="AD380" s="44"/>
      <c r="AE380" s="44"/>
      <c r="AF380" s="44"/>
      <c r="AG380" s="44"/>
      <c r="AH380" s="44"/>
      <c r="AI380" s="44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44"/>
      <c r="AC381" s="44"/>
      <c r="AD381" s="44"/>
      <c r="AE381" s="44"/>
      <c r="AF381" s="44"/>
      <c r="AG381" s="44"/>
      <c r="AH381" s="44"/>
      <c r="AI381" s="44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44"/>
      <c r="AC382" s="44"/>
      <c r="AD382" s="44"/>
      <c r="AE382" s="44"/>
      <c r="AF382" s="44"/>
      <c r="AG382" s="44"/>
      <c r="AH382" s="44"/>
      <c r="AI382" s="44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44"/>
      <c r="AC383" s="44"/>
      <c r="AD383" s="44"/>
      <c r="AE383" s="44"/>
      <c r="AF383" s="44"/>
      <c r="AG383" s="44"/>
      <c r="AH383" s="44"/>
      <c r="AI383" s="44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44"/>
      <c r="AC384" s="44"/>
      <c r="AD384" s="44"/>
      <c r="AE384" s="44"/>
      <c r="AF384" s="44"/>
      <c r="AG384" s="44"/>
      <c r="AH384" s="44"/>
      <c r="AI384" s="44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44"/>
      <c r="AC385" s="44"/>
      <c r="AD385" s="44"/>
      <c r="AE385" s="44"/>
      <c r="AF385" s="44"/>
      <c r="AG385" s="44"/>
      <c r="AH385" s="44"/>
      <c r="AI385" s="44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44"/>
      <c r="AC386" s="44"/>
      <c r="AD386" s="44"/>
      <c r="AE386" s="44"/>
      <c r="AF386" s="44"/>
      <c r="AG386" s="44"/>
      <c r="AH386" s="44"/>
      <c r="AI386" s="44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44"/>
      <c r="AC387" s="44"/>
      <c r="AD387" s="44"/>
      <c r="AE387" s="44"/>
      <c r="AF387" s="44"/>
      <c r="AG387" s="44"/>
      <c r="AH387" s="44"/>
      <c r="AI387" s="44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44"/>
      <c r="AC388" s="44"/>
      <c r="AD388" s="44"/>
      <c r="AE388" s="44"/>
      <c r="AF388" s="44"/>
      <c r="AG388" s="44"/>
      <c r="AH388" s="44"/>
      <c r="AI388" s="44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44"/>
      <c r="AC389" s="44"/>
      <c r="AD389" s="44"/>
      <c r="AE389" s="44"/>
      <c r="AF389" s="44"/>
      <c r="AG389" s="44"/>
      <c r="AH389" s="44"/>
      <c r="AI389" s="44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44"/>
      <c r="AC390" s="44"/>
      <c r="AD390" s="44"/>
      <c r="AE390" s="44"/>
      <c r="AF390" s="44"/>
      <c r="AG390" s="44"/>
      <c r="AH390" s="44"/>
      <c r="AI390" s="44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44"/>
      <c r="AC391" s="44"/>
      <c r="AD391" s="44"/>
      <c r="AE391" s="44"/>
      <c r="AF391" s="44"/>
      <c r="AG391" s="44"/>
      <c r="AH391" s="44"/>
      <c r="AI391" s="44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44"/>
      <c r="AC392" s="44"/>
      <c r="AD392" s="44"/>
      <c r="AE392" s="44"/>
      <c r="AF392" s="44"/>
      <c r="AG392" s="44"/>
      <c r="AH392" s="44"/>
      <c r="AI392" s="44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44"/>
      <c r="AC393" s="44"/>
      <c r="AD393" s="44"/>
      <c r="AE393" s="44"/>
      <c r="AF393" s="44"/>
      <c r="AG393" s="44"/>
      <c r="AH393" s="44"/>
      <c r="AI393" s="44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44"/>
      <c r="AC394" s="44"/>
      <c r="AD394" s="44"/>
      <c r="AE394" s="44"/>
      <c r="AF394" s="44"/>
      <c r="AG394" s="44"/>
      <c r="AH394" s="44"/>
      <c r="AI394" s="44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44"/>
      <c r="AC395" s="44"/>
      <c r="AD395" s="44"/>
      <c r="AE395" s="44"/>
      <c r="AF395" s="44"/>
      <c r="AG395" s="44"/>
      <c r="AH395" s="44"/>
      <c r="AI395" s="44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44"/>
      <c r="AC396" s="44"/>
      <c r="AD396" s="44"/>
      <c r="AE396" s="44"/>
      <c r="AF396" s="44"/>
      <c r="AG396" s="44"/>
      <c r="AH396" s="44"/>
      <c r="AI396" s="44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44"/>
      <c r="AC397" s="44"/>
      <c r="AD397" s="44"/>
      <c r="AE397" s="44"/>
      <c r="AF397" s="44"/>
      <c r="AG397" s="44"/>
      <c r="AH397" s="44"/>
      <c r="AI397" s="44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44"/>
      <c r="AC398" s="44"/>
      <c r="AD398" s="44"/>
      <c r="AE398" s="44"/>
      <c r="AF398" s="44"/>
      <c r="AG398" s="44"/>
      <c r="AH398" s="44"/>
      <c r="AI398" s="44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44"/>
      <c r="AC399" s="44"/>
      <c r="AD399" s="44"/>
      <c r="AE399" s="44"/>
      <c r="AF399" s="44"/>
      <c r="AG399" s="44"/>
      <c r="AH399" s="44"/>
      <c r="AI399" s="44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44"/>
      <c r="AC400" s="44"/>
      <c r="AD400" s="44"/>
      <c r="AE400" s="44"/>
      <c r="AF400" s="44"/>
      <c r="AG400" s="44"/>
      <c r="AH400" s="44"/>
      <c r="AI400" s="44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44"/>
      <c r="AC401" s="44"/>
      <c r="AD401" s="44"/>
      <c r="AE401" s="44"/>
      <c r="AF401" s="44"/>
      <c r="AG401" s="44"/>
      <c r="AH401" s="44"/>
      <c r="AI401" s="44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44"/>
      <c r="AC402" s="44"/>
      <c r="AD402" s="44"/>
      <c r="AE402" s="44"/>
      <c r="AF402" s="44"/>
      <c r="AG402" s="44"/>
      <c r="AH402" s="44"/>
      <c r="AI402" s="44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44"/>
      <c r="AC403" s="44"/>
      <c r="AD403" s="44"/>
      <c r="AE403" s="44"/>
      <c r="AF403" s="44"/>
      <c r="AG403" s="44"/>
      <c r="AH403" s="44"/>
      <c r="AI403" s="44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44"/>
      <c r="AC404" s="44"/>
      <c r="AD404" s="44"/>
      <c r="AE404" s="44"/>
      <c r="AF404" s="44"/>
      <c r="AG404" s="44"/>
      <c r="AH404" s="44"/>
      <c r="AI404" s="44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44"/>
      <c r="AC405" s="44"/>
      <c r="AD405" s="44"/>
      <c r="AE405" s="44"/>
      <c r="AF405" s="44"/>
      <c r="AG405" s="44"/>
      <c r="AH405" s="44"/>
      <c r="AI405" s="44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44"/>
      <c r="AC406" s="44"/>
      <c r="AD406" s="44"/>
      <c r="AE406" s="44"/>
      <c r="AF406" s="44"/>
      <c r="AG406" s="44"/>
      <c r="AH406" s="44"/>
      <c r="AI406" s="44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44"/>
      <c r="AC407" s="44"/>
      <c r="AD407" s="44"/>
      <c r="AE407" s="44"/>
      <c r="AF407" s="44"/>
      <c r="AG407" s="44"/>
      <c r="AH407" s="44"/>
      <c r="AI407" s="44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44"/>
      <c r="AC408" s="44"/>
      <c r="AD408" s="44"/>
      <c r="AE408" s="44"/>
      <c r="AF408" s="44"/>
      <c r="AG408" s="44"/>
      <c r="AH408" s="44"/>
      <c r="AI408" s="44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44"/>
      <c r="AC409" s="44"/>
      <c r="AD409" s="44"/>
      <c r="AE409" s="44"/>
      <c r="AF409" s="44"/>
      <c r="AG409" s="44"/>
      <c r="AH409" s="44"/>
      <c r="AI409" s="44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44"/>
      <c r="AC410" s="44"/>
      <c r="AD410" s="44"/>
      <c r="AE410" s="44"/>
      <c r="AF410" s="44"/>
      <c r="AG410" s="44"/>
      <c r="AH410" s="44"/>
      <c r="AI410" s="44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44"/>
      <c r="AC411" s="44"/>
      <c r="AD411" s="44"/>
      <c r="AE411" s="44"/>
      <c r="AF411" s="44"/>
      <c r="AG411" s="44"/>
      <c r="AH411" s="44"/>
      <c r="AI411" s="44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44"/>
      <c r="AC412" s="44"/>
      <c r="AD412" s="44"/>
      <c r="AE412" s="44"/>
      <c r="AF412" s="44"/>
      <c r="AG412" s="44"/>
      <c r="AH412" s="44"/>
      <c r="AI412" s="44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44"/>
      <c r="AC413" s="44"/>
      <c r="AD413" s="44"/>
      <c r="AE413" s="44"/>
      <c r="AF413" s="44"/>
      <c r="AG413" s="44"/>
      <c r="AH413" s="44"/>
      <c r="AI413" s="44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44"/>
      <c r="AC414" s="44"/>
      <c r="AD414" s="44"/>
      <c r="AE414" s="44"/>
      <c r="AF414" s="44"/>
      <c r="AG414" s="44"/>
      <c r="AH414" s="44"/>
      <c r="AI414" s="44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44"/>
      <c r="AC415" s="44"/>
      <c r="AD415" s="44"/>
      <c r="AE415" s="44"/>
      <c r="AF415" s="44"/>
      <c r="AG415" s="44"/>
      <c r="AH415" s="44"/>
      <c r="AI415" s="44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44"/>
      <c r="AC416" s="44"/>
      <c r="AD416" s="44"/>
      <c r="AE416" s="44"/>
      <c r="AF416" s="44"/>
      <c r="AG416" s="44"/>
      <c r="AH416" s="44"/>
      <c r="AI416" s="44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44"/>
      <c r="AC417" s="44"/>
      <c r="AD417" s="44"/>
      <c r="AE417" s="44"/>
      <c r="AF417" s="44"/>
      <c r="AG417" s="44"/>
      <c r="AH417" s="44"/>
      <c r="AI417" s="44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44"/>
      <c r="AC418" s="44"/>
      <c r="AD418" s="44"/>
      <c r="AE418" s="44"/>
      <c r="AF418" s="44"/>
      <c r="AG418" s="44"/>
      <c r="AH418" s="44"/>
      <c r="AI418" s="44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44"/>
      <c r="AC419" s="44"/>
      <c r="AD419" s="44"/>
      <c r="AE419" s="44"/>
      <c r="AF419" s="44"/>
      <c r="AG419" s="44"/>
      <c r="AH419" s="44"/>
      <c r="AI419" s="44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44"/>
      <c r="AC420" s="44"/>
      <c r="AD420" s="44"/>
      <c r="AE420" s="44"/>
      <c r="AF420" s="44"/>
      <c r="AG420" s="44"/>
      <c r="AH420" s="44"/>
      <c r="AI420" s="44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44"/>
      <c r="AC421" s="44"/>
      <c r="AD421" s="44"/>
      <c r="AE421" s="44"/>
      <c r="AF421" s="44"/>
      <c r="AG421" s="44"/>
      <c r="AH421" s="44"/>
      <c r="AI421" s="44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44"/>
      <c r="AC422" s="44"/>
      <c r="AD422" s="44"/>
      <c r="AE422" s="44"/>
      <c r="AF422" s="44"/>
      <c r="AG422" s="44"/>
      <c r="AH422" s="44"/>
      <c r="AI422" s="44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44"/>
      <c r="AC423" s="44"/>
      <c r="AD423" s="44"/>
      <c r="AE423" s="44"/>
      <c r="AF423" s="44"/>
      <c r="AG423" s="44"/>
      <c r="AH423" s="44"/>
      <c r="AI423" s="44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44"/>
      <c r="AC424" s="44"/>
      <c r="AD424" s="44"/>
      <c r="AE424" s="44"/>
      <c r="AF424" s="44"/>
      <c r="AG424" s="44"/>
      <c r="AH424" s="44"/>
      <c r="AI424" s="44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44"/>
      <c r="AC425" s="44"/>
      <c r="AD425" s="44"/>
      <c r="AE425" s="44"/>
      <c r="AF425" s="44"/>
      <c r="AG425" s="44"/>
      <c r="AH425" s="44"/>
      <c r="AI425" s="44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44"/>
      <c r="AC426" s="44"/>
      <c r="AD426" s="44"/>
      <c r="AE426" s="44"/>
      <c r="AF426" s="44"/>
      <c r="AG426" s="44"/>
      <c r="AH426" s="44"/>
      <c r="AI426" s="44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44"/>
      <c r="AC427" s="44"/>
      <c r="AD427" s="44"/>
      <c r="AE427" s="44"/>
      <c r="AF427" s="44"/>
      <c r="AG427" s="44"/>
      <c r="AH427" s="44"/>
      <c r="AI427" s="44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44"/>
      <c r="AC428" s="44"/>
      <c r="AD428" s="44"/>
      <c r="AE428" s="44"/>
      <c r="AF428" s="44"/>
      <c r="AG428" s="44"/>
      <c r="AH428" s="44"/>
      <c r="AI428" s="44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44"/>
      <c r="AC429" s="44"/>
      <c r="AD429" s="44"/>
      <c r="AE429" s="44"/>
      <c r="AF429" s="44"/>
      <c r="AG429" s="44"/>
      <c r="AH429" s="44"/>
      <c r="AI429" s="44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44"/>
      <c r="AC430" s="44"/>
      <c r="AD430" s="44"/>
      <c r="AE430" s="44"/>
      <c r="AF430" s="44"/>
      <c r="AG430" s="44"/>
      <c r="AH430" s="44"/>
      <c r="AI430" s="44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44"/>
      <c r="AC431" s="44"/>
      <c r="AD431" s="44"/>
      <c r="AE431" s="44"/>
      <c r="AF431" s="44"/>
      <c r="AG431" s="44"/>
      <c r="AH431" s="44"/>
      <c r="AI431" s="44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44"/>
      <c r="AC432" s="44"/>
      <c r="AD432" s="44"/>
      <c r="AE432" s="44"/>
      <c r="AF432" s="44"/>
      <c r="AG432" s="44"/>
      <c r="AH432" s="44"/>
      <c r="AI432" s="44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44"/>
      <c r="AC433" s="44"/>
      <c r="AD433" s="44"/>
      <c r="AE433" s="44"/>
      <c r="AF433" s="44"/>
      <c r="AG433" s="44"/>
      <c r="AH433" s="44"/>
      <c r="AI433" s="44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44"/>
      <c r="AC434" s="44"/>
      <c r="AD434" s="44"/>
      <c r="AE434" s="44"/>
      <c r="AF434" s="44"/>
      <c r="AG434" s="44"/>
      <c r="AH434" s="44"/>
      <c r="AI434" s="44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44"/>
      <c r="AC435" s="44"/>
      <c r="AD435" s="44"/>
      <c r="AE435" s="44"/>
      <c r="AF435" s="44"/>
      <c r="AG435" s="44"/>
      <c r="AH435" s="44"/>
      <c r="AI435" s="44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44"/>
      <c r="AC436" s="44"/>
      <c r="AD436" s="44"/>
      <c r="AE436" s="44"/>
      <c r="AF436" s="44"/>
      <c r="AG436" s="44"/>
      <c r="AH436" s="44"/>
      <c r="AI436" s="44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44"/>
      <c r="AC437" s="44"/>
      <c r="AD437" s="44"/>
      <c r="AE437" s="44"/>
      <c r="AF437" s="44"/>
      <c r="AG437" s="44"/>
      <c r="AH437" s="44"/>
      <c r="AI437" s="44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44"/>
      <c r="AC438" s="44"/>
      <c r="AD438" s="44"/>
      <c r="AE438" s="44"/>
      <c r="AF438" s="44"/>
      <c r="AG438" s="44"/>
      <c r="AH438" s="44"/>
      <c r="AI438" s="44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44"/>
      <c r="AC439" s="44"/>
      <c r="AD439" s="44"/>
      <c r="AE439" s="44"/>
      <c r="AF439" s="44"/>
      <c r="AG439" s="44"/>
      <c r="AH439" s="44"/>
      <c r="AI439" s="44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44"/>
      <c r="AC440" s="44"/>
      <c r="AD440" s="44"/>
      <c r="AE440" s="44"/>
      <c r="AF440" s="44"/>
      <c r="AG440" s="44"/>
      <c r="AH440" s="44"/>
      <c r="AI440" s="44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44"/>
      <c r="AC441" s="44"/>
      <c r="AD441" s="44"/>
      <c r="AE441" s="44"/>
      <c r="AF441" s="44"/>
      <c r="AG441" s="44"/>
      <c r="AH441" s="44"/>
      <c r="AI441" s="44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44"/>
      <c r="AC442" s="44"/>
      <c r="AD442" s="44"/>
      <c r="AE442" s="44"/>
      <c r="AF442" s="44"/>
      <c r="AG442" s="44"/>
      <c r="AH442" s="44"/>
      <c r="AI442" s="44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44"/>
      <c r="AC443" s="44"/>
      <c r="AD443" s="44"/>
      <c r="AE443" s="44"/>
      <c r="AF443" s="44"/>
      <c r="AG443" s="44"/>
      <c r="AH443" s="44"/>
      <c r="AI443" s="44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44"/>
      <c r="AC444" s="44"/>
      <c r="AD444" s="44"/>
      <c r="AE444" s="44"/>
      <c r="AF444" s="44"/>
      <c r="AG444" s="44"/>
      <c r="AH444" s="44"/>
      <c r="AI444" s="44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44"/>
      <c r="AC445" s="44"/>
      <c r="AD445" s="44"/>
      <c r="AE445" s="44"/>
      <c r="AF445" s="44"/>
      <c r="AG445" s="44"/>
      <c r="AH445" s="44"/>
      <c r="AI445" s="44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44"/>
      <c r="AC446" s="44"/>
      <c r="AD446" s="44"/>
      <c r="AE446" s="44"/>
      <c r="AF446" s="44"/>
      <c r="AG446" s="44"/>
      <c r="AH446" s="44"/>
      <c r="AI446" s="44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44"/>
      <c r="AC447" s="44"/>
      <c r="AD447" s="44"/>
      <c r="AE447" s="44"/>
      <c r="AF447" s="44"/>
      <c r="AG447" s="44"/>
      <c r="AH447" s="44"/>
      <c r="AI447" s="44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44"/>
      <c r="AC448" s="44"/>
      <c r="AD448" s="44"/>
      <c r="AE448" s="44"/>
      <c r="AF448" s="44"/>
      <c r="AG448" s="44"/>
      <c r="AH448" s="44"/>
      <c r="AI448" s="44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44"/>
      <c r="AC449" s="44"/>
      <c r="AD449" s="44"/>
      <c r="AE449" s="44"/>
      <c r="AF449" s="44"/>
      <c r="AG449" s="44"/>
      <c r="AH449" s="44"/>
      <c r="AI449" s="44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44"/>
      <c r="AC450" s="44"/>
      <c r="AD450" s="44"/>
      <c r="AE450" s="44"/>
      <c r="AF450" s="44"/>
      <c r="AG450" s="44"/>
      <c r="AH450" s="44"/>
      <c r="AI450" s="44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44"/>
      <c r="AC451" s="44"/>
      <c r="AD451" s="44"/>
      <c r="AE451" s="44"/>
      <c r="AF451" s="44"/>
      <c r="AG451" s="44"/>
      <c r="AH451" s="44"/>
      <c r="AI451" s="44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44"/>
      <c r="AC452" s="44"/>
      <c r="AD452" s="44"/>
      <c r="AE452" s="44"/>
      <c r="AF452" s="44"/>
      <c r="AG452" s="44"/>
      <c r="AH452" s="44"/>
      <c r="AI452" s="44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44"/>
      <c r="AC453" s="44"/>
      <c r="AD453" s="44"/>
      <c r="AE453" s="44"/>
      <c r="AF453" s="44"/>
      <c r="AG453" s="44"/>
      <c r="AH453" s="44"/>
      <c r="AI453" s="44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44"/>
      <c r="AC454" s="44"/>
      <c r="AD454" s="44"/>
      <c r="AE454" s="44"/>
      <c r="AF454" s="44"/>
      <c r="AG454" s="44"/>
      <c r="AH454" s="44"/>
      <c r="AI454" s="44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44"/>
      <c r="AC455" s="44"/>
      <c r="AD455" s="44"/>
      <c r="AE455" s="44"/>
      <c r="AF455" s="44"/>
      <c r="AG455" s="44"/>
      <c r="AH455" s="44"/>
      <c r="AI455" s="44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44"/>
      <c r="AC456" s="44"/>
      <c r="AD456" s="44"/>
      <c r="AE456" s="44"/>
      <c r="AF456" s="44"/>
      <c r="AG456" s="44"/>
      <c r="AH456" s="44"/>
      <c r="AI456" s="44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44"/>
      <c r="AC457" s="44"/>
      <c r="AD457" s="44"/>
      <c r="AE457" s="44"/>
      <c r="AF457" s="44"/>
      <c r="AG457" s="44"/>
      <c r="AH457" s="44"/>
      <c r="AI457" s="44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44"/>
      <c r="AC458" s="44"/>
      <c r="AD458" s="44"/>
      <c r="AE458" s="44"/>
      <c r="AF458" s="44"/>
      <c r="AG458" s="44"/>
      <c r="AH458" s="44"/>
      <c r="AI458" s="44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44"/>
      <c r="AC459" s="44"/>
      <c r="AD459" s="44"/>
      <c r="AE459" s="44"/>
      <c r="AF459" s="44"/>
      <c r="AG459" s="44"/>
      <c r="AH459" s="44"/>
      <c r="AI459" s="44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44"/>
      <c r="AC460" s="44"/>
      <c r="AD460" s="44"/>
      <c r="AE460" s="44"/>
      <c r="AF460" s="44"/>
      <c r="AG460" s="44"/>
      <c r="AH460" s="44"/>
      <c r="AI460" s="44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44"/>
      <c r="AC461" s="44"/>
      <c r="AD461" s="44"/>
      <c r="AE461" s="44"/>
      <c r="AF461" s="44"/>
      <c r="AG461" s="44"/>
      <c r="AH461" s="44"/>
      <c r="AI461" s="44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44"/>
      <c r="AC462" s="44"/>
      <c r="AD462" s="44"/>
      <c r="AE462" s="44"/>
      <c r="AF462" s="44"/>
      <c r="AG462" s="44"/>
      <c r="AH462" s="44"/>
      <c r="AI462" s="44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44"/>
      <c r="AC463" s="44"/>
      <c r="AD463" s="44"/>
      <c r="AE463" s="44"/>
      <c r="AF463" s="44"/>
      <c r="AG463" s="44"/>
      <c r="AH463" s="44"/>
      <c r="AI463" s="44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44"/>
      <c r="AC464" s="44"/>
      <c r="AD464" s="44"/>
      <c r="AE464" s="44"/>
      <c r="AF464" s="44"/>
      <c r="AG464" s="44"/>
      <c r="AH464" s="44"/>
      <c r="AI464" s="44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44"/>
      <c r="AC465" s="44"/>
      <c r="AD465" s="44"/>
      <c r="AE465" s="44"/>
      <c r="AF465" s="44"/>
      <c r="AG465" s="44"/>
      <c r="AH465" s="44"/>
      <c r="AI465" s="44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44"/>
      <c r="AC466" s="44"/>
      <c r="AD466" s="44"/>
      <c r="AE466" s="44"/>
      <c r="AF466" s="44"/>
      <c r="AG466" s="44"/>
      <c r="AH466" s="44"/>
      <c r="AI466" s="44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44"/>
      <c r="AC467" s="44"/>
      <c r="AD467" s="44"/>
      <c r="AE467" s="44"/>
      <c r="AF467" s="44"/>
      <c r="AG467" s="44"/>
      <c r="AH467" s="44"/>
      <c r="AI467" s="44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44"/>
      <c r="AC468" s="44"/>
      <c r="AD468" s="44"/>
      <c r="AE468" s="44"/>
      <c r="AF468" s="44"/>
      <c r="AG468" s="44"/>
      <c r="AH468" s="44"/>
      <c r="AI468" s="44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44"/>
      <c r="AC469" s="44"/>
      <c r="AD469" s="44"/>
      <c r="AE469" s="44"/>
      <c r="AF469" s="44"/>
      <c r="AG469" s="44"/>
      <c r="AH469" s="44"/>
      <c r="AI469" s="44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44"/>
      <c r="AC470" s="44"/>
      <c r="AD470" s="44"/>
      <c r="AE470" s="44"/>
      <c r="AF470" s="44"/>
      <c r="AG470" s="44"/>
      <c r="AH470" s="44"/>
      <c r="AI470" s="44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44"/>
      <c r="AC471" s="44"/>
      <c r="AD471" s="44"/>
      <c r="AE471" s="44"/>
      <c r="AF471" s="44"/>
      <c r="AG471" s="44"/>
      <c r="AH471" s="44"/>
      <c r="AI471" s="44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44"/>
      <c r="AC472" s="44"/>
      <c r="AD472" s="44"/>
      <c r="AE472" s="44"/>
      <c r="AF472" s="44"/>
      <c r="AG472" s="44"/>
      <c r="AH472" s="44"/>
      <c r="AI472" s="44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44"/>
      <c r="AC473" s="44"/>
      <c r="AD473" s="44"/>
      <c r="AE473" s="44"/>
      <c r="AF473" s="44"/>
      <c r="AG473" s="44"/>
      <c r="AH473" s="44"/>
      <c r="AI473" s="44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44"/>
      <c r="AC474" s="44"/>
      <c r="AD474" s="44"/>
      <c r="AE474" s="44"/>
      <c r="AF474" s="44"/>
      <c r="AG474" s="44"/>
      <c r="AH474" s="44"/>
      <c r="AI474" s="44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44"/>
      <c r="AC475" s="44"/>
      <c r="AD475" s="44"/>
      <c r="AE475" s="44"/>
      <c r="AF475" s="44"/>
      <c r="AG475" s="44"/>
      <c r="AH475" s="44"/>
      <c r="AI475" s="44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44"/>
      <c r="AC476" s="44"/>
      <c r="AD476" s="44"/>
      <c r="AE476" s="44"/>
      <c r="AF476" s="44"/>
      <c r="AG476" s="44"/>
      <c r="AH476" s="44"/>
      <c r="AI476" s="44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44"/>
      <c r="AC477" s="44"/>
      <c r="AD477" s="44"/>
      <c r="AE477" s="44"/>
      <c r="AF477" s="44"/>
      <c r="AG477" s="44"/>
      <c r="AH477" s="44"/>
      <c r="AI477" s="44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44"/>
      <c r="AC478" s="44"/>
      <c r="AD478" s="44"/>
      <c r="AE478" s="44"/>
      <c r="AF478" s="44"/>
      <c r="AG478" s="44"/>
      <c r="AH478" s="44"/>
      <c r="AI478" s="44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44"/>
      <c r="AC479" s="44"/>
      <c r="AD479" s="44"/>
      <c r="AE479" s="44"/>
      <c r="AF479" s="44"/>
      <c r="AG479" s="44"/>
      <c r="AH479" s="44"/>
      <c r="AI479" s="44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44"/>
      <c r="AC480" s="44"/>
      <c r="AD480" s="44"/>
      <c r="AE480" s="44"/>
      <c r="AF480" s="44"/>
      <c r="AG480" s="44"/>
      <c r="AH480" s="44"/>
      <c r="AI480" s="44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44"/>
      <c r="AC481" s="44"/>
      <c r="AD481" s="44"/>
      <c r="AE481" s="44"/>
      <c r="AF481" s="44"/>
      <c r="AG481" s="44"/>
      <c r="AH481" s="44"/>
      <c r="AI481" s="44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44"/>
      <c r="AC482" s="44"/>
      <c r="AD482" s="44"/>
      <c r="AE482" s="44"/>
      <c r="AF482" s="44"/>
      <c r="AG482" s="44"/>
      <c r="AH482" s="44"/>
      <c r="AI482" s="44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44"/>
      <c r="AC483" s="44"/>
      <c r="AD483" s="44"/>
      <c r="AE483" s="44"/>
      <c r="AF483" s="44"/>
      <c r="AG483" s="44"/>
      <c r="AH483" s="44"/>
      <c r="AI483" s="44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44"/>
      <c r="AC484" s="44"/>
      <c r="AD484" s="44"/>
      <c r="AE484" s="44"/>
      <c r="AF484" s="44"/>
      <c r="AG484" s="44"/>
      <c r="AH484" s="44"/>
      <c r="AI484" s="44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44"/>
      <c r="AC485" s="44"/>
      <c r="AD485" s="44"/>
      <c r="AE485" s="44"/>
      <c r="AF485" s="44"/>
      <c r="AG485" s="44"/>
      <c r="AH485" s="44"/>
      <c r="AI485" s="44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44"/>
      <c r="AC486" s="44"/>
      <c r="AD486" s="44"/>
      <c r="AE486" s="44"/>
      <c r="AF486" s="44"/>
      <c r="AG486" s="44"/>
      <c r="AH486" s="44"/>
      <c r="AI486" s="44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44"/>
      <c r="AC487" s="44"/>
      <c r="AD487" s="44"/>
      <c r="AE487" s="44"/>
      <c r="AF487" s="44"/>
      <c r="AG487" s="44"/>
      <c r="AH487" s="44"/>
      <c r="AI487" s="44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44"/>
      <c r="AC488" s="44"/>
      <c r="AD488" s="44"/>
      <c r="AE488" s="44"/>
      <c r="AF488" s="44"/>
      <c r="AG488" s="44"/>
      <c r="AH488" s="44"/>
      <c r="AI488" s="44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44"/>
      <c r="AC489" s="44"/>
      <c r="AD489" s="44"/>
      <c r="AE489" s="44"/>
      <c r="AF489" s="44"/>
      <c r="AG489" s="44"/>
      <c r="AH489" s="44"/>
      <c r="AI489" s="44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44"/>
      <c r="AC490" s="44"/>
      <c r="AD490" s="44"/>
      <c r="AE490" s="44"/>
      <c r="AF490" s="44"/>
      <c r="AG490" s="44"/>
      <c r="AH490" s="44"/>
      <c r="AI490" s="44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44"/>
      <c r="AC491" s="44"/>
      <c r="AD491" s="44"/>
      <c r="AE491" s="44"/>
      <c r="AF491" s="44"/>
      <c r="AG491" s="44"/>
      <c r="AH491" s="44"/>
      <c r="AI491" s="44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44"/>
      <c r="AC492" s="44"/>
      <c r="AD492" s="44"/>
      <c r="AE492" s="44"/>
      <c r="AF492" s="44"/>
      <c r="AG492" s="44"/>
      <c r="AH492" s="44"/>
      <c r="AI492" s="44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44"/>
      <c r="AC493" s="44"/>
      <c r="AD493" s="44"/>
      <c r="AE493" s="44"/>
      <c r="AF493" s="44"/>
      <c r="AG493" s="44"/>
      <c r="AH493" s="44"/>
      <c r="AI493" s="44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44"/>
      <c r="AC494" s="44"/>
      <c r="AD494" s="44"/>
      <c r="AE494" s="44"/>
      <c r="AF494" s="44"/>
      <c r="AG494" s="44"/>
      <c r="AH494" s="44"/>
      <c r="AI494" s="44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44"/>
      <c r="AC495" s="44"/>
      <c r="AD495" s="44"/>
      <c r="AE495" s="44"/>
      <c r="AF495" s="44"/>
      <c r="AG495" s="44"/>
      <c r="AH495" s="44"/>
      <c r="AI495" s="44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44"/>
      <c r="AC496" s="44"/>
      <c r="AD496" s="44"/>
      <c r="AE496" s="44"/>
      <c r="AF496" s="44"/>
      <c r="AG496" s="44"/>
      <c r="AH496" s="44"/>
      <c r="AI496" s="44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44"/>
      <c r="AC497" s="44"/>
      <c r="AD497" s="44"/>
      <c r="AE497" s="44"/>
      <c r="AF497" s="44"/>
      <c r="AG497" s="44"/>
      <c r="AH497" s="44"/>
      <c r="AI497" s="44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44"/>
      <c r="AC498" s="44"/>
      <c r="AD498" s="44"/>
      <c r="AE498" s="44"/>
      <c r="AF498" s="44"/>
      <c r="AG498" s="44"/>
      <c r="AH498" s="44"/>
      <c r="AI498" s="44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44"/>
      <c r="AC499" s="44"/>
      <c r="AD499" s="44"/>
      <c r="AE499" s="44"/>
      <c r="AF499" s="44"/>
      <c r="AG499" s="44"/>
      <c r="AH499" s="44"/>
      <c r="AI499" s="44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44"/>
      <c r="AC500" s="44"/>
      <c r="AD500" s="44"/>
      <c r="AE500" s="44"/>
      <c r="AF500" s="44"/>
      <c r="AG500" s="44"/>
      <c r="AH500" s="44"/>
      <c r="AI500" s="44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44"/>
      <c r="AC501" s="44"/>
      <c r="AD501" s="44"/>
      <c r="AE501" s="44"/>
      <c r="AF501" s="44"/>
      <c r="AG501" s="44"/>
      <c r="AH501" s="44"/>
      <c r="AI501" s="44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44"/>
      <c r="AC502" s="44"/>
      <c r="AD502" s="44"/>
      <c r="AE502" s="44"/>
      <c r="AF502" s="44"/>
      <c r="AG502" s="44"/>
      <c r="AH502" s="44"/>
      <c r="AI502" s="44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44"/>
      <c r="AC503" s="44"/>
      <c r="AD503" s="44"/>
      <c r="AE503" s="44"/>
      <c r="AF503" s="44"/>
      <c r="AG503" s="44"/>
      <c r="AH503" s="44"/>
      <c r="AI503" s="44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44"/>
      <c r="AC504" s="44"/>
      <c r="AD504" s="44"/>
      <c r="AE504" s="44"/>
      <c r="AF504" s="44"/>
      <c r="AG504" s="44"/>
      <c r="AH504" s="44"/>
      <c r="AI504" s="44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44"/>
      <c r="AC505" s="44"/>
      <c r="AD505" s="44"/>
      <c r="AE505" s="44"/>
      <c r="AF505" s="44"/>
      <c r="AG505" s="44"/>
      <c r="AH505" s="44"/>
      <c r="AI505" s="44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44"/>
      <c r="AC506" s="44"/>
      <c r="AD506" s="44"/>
      <c r="AE506" s="44"/>
      <c r="AF506" s="44"/>
      <c r="AG506" s="44"/>
      <c r="AH506" s="44"/>
      <c r="AI506" s="44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44"/>
      <c r="AC507" s="44"/>
      <c r="AD507" s="44"/>
      <c r="AE507" s="44"/>
      <c r="AF507" s="44"/>
      <c r="AG507" s="44"/>
      <c r="AH507" s="44"/>
      <c r="AI507" s="44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44"/>
      <c r="AC508" s="44"/>
      <c r="AD508" s="44"/>
      <c r="AE508" s="44"/>
      <c r="AF508" s="44"/>
      <c r="AG508" s="44"/>
      <c r="AH508" s="44"/>
      <c r="AI508" s="44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44"/>
      <c r="AC509" s="44"/>
      <c r="AD509" s="44"/>
      <c r="AE509" s="44"/>
      <c r="AF509" s="44"/>
      <c r="AG509" s="44"/>
      <c r="AH509" s="44"/>
      <c r="AI509" s="44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44"/>
      <c r="AC510" s="44"/>
      <c r="AD510" s="44"/>
      <c r="AE510" s="44"/>
      <c r="AF510" s="44"/>
      <c r="AG510" s="44"/>
      <c r="AH510" s="44"/>
      <c r="AI510" s="44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44"/>
      <c r="AC511" s="44"/>
      <c r="AD511" s="44"/>
      <c r="AE511" s="44"/>
      <c r="AF511" s="44"/>
      <c r="AG511" s="44"/>
      <c r="AH511" s="44"/>
      <c r="AI511" s="44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44"/>
      <c r="AC512" s="44"/>
      <c r="AD512" s="44"/>
      <c r="AE512" s="44"/>
      <c r="AF512" s="44"/>
      <c r="AG512" s="44"/>
      <c r="AH512" s="44"/>
      <c r="AI512" s="44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44"/>
      <c r="AC513" s="44"/>
      <c r="AD513" s="44"/>
      <c r="AE513" s="44"/>
      <c r="AF513" s="44"/>
      <c r="AG513" s="44"/>
      <c r="AH513" s="44"/>
      <c r="AI513" s="44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44"/>
      <c r="AC514" s="44"/>
      <c r="AD514" s="44"/>
      <c r="AE514" s="44"/>
      <c r="AF514" s="44"/>
      <c r="AG514" s="44"/>
      <c r="AH514" s="44"/>
      <c r="AI514" s="44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44"/>
      <c r="AC515" s="44"/>
      <c r="AD515" s="44"/>
      <c r="AE515" s="44"/>
      <c r="AF515" s="44"/>
      <c r="AG515" s="44"/>
      <c r="AH515" s="44"/>
      <c r="AI515" s="44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44"/>
      <c r="AC516" s="44"/>
      <c r="AD516" s="44"/>
      <c r="AE516" s="44"/>
      <c r="AF516" s="44"/>
      <c r="AG516" s="44"/>
      <c r="AH516" s="44"/>
      <c r="AI516" s="44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44"/>
      <c r="AC517" s="44"/>
      <c r="AD517" s="44"/>
      <c r="AE517" s="44"/>
      <c r="AF517" s="44"/>
      <c r="AG517" s="44"/>
      <c r="AH517" s="44"/>
      <c r="AI517" s="44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44"/>
      <c r="AC518" s="44"/>
      <c r="AD518" s="44"/>
      <c r="AE518" s="44"/>
      <c r="AF518" s="44"/>
      <c r="AG518" s="44"/>
      <c r="AH518" s="44"/>
      <c r="AI518" s="44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44"/>
      <c r="AC519" s="44"/>
      <c r="AD519" s="44"/>
      <c r="AE519" s="44"/>
      <c r="AF519" s="44"/>
      <c r="AG519" s="44"/>
      <c r="AH519" s="44"/>
      <c r="AI519" s="44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44"/>
      <c r="AC520" s="44"/>
      <c r="AD520" s="44"/>
      <c r="AE520" s="44"/>
      <c r="AF520" s="44"/>
      <c r="AG520" s="44"/>
      <c r="AH520" s="44"/>
      <c r="AI520" s="44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44"/>
      <c r="AC521" s="44"/>
      <c r="AD521" s="44"/>
      <c r="AE521" s="44"/>
      <c r="AF521" s="44"/>
      <c r="AG521" s="44"/>
      <c r="AH521" s="44"/>
      <c r="AI521" s="44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44"/>
      <c r="AC522" s="44"/>
      <c r="AD522" s="44"/>
      <c r="AE522" s="44"/>
      <c r="AF522" s="44"/>
      <c r="AG522" s="44"/>
      <c r="AH522" s="44"/>
      <c r="AI522" s="44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44"/>
      <c r="AC523" s="44"/>
      <c r="AD523" s="44"/>
      <c r="AE523" s="44"/>
      <c r="AF523" s="44"/>
      <c r="AG523" s="44"/>
      <c r="AH523" s="44"/>
      <c r="AI523" s="44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44"/>
      <c r="AC524" s="44"/>
      <c r="AD524" s="44"/>
      <c r="AE524" s="44"/>
      <c r="AF524" s="44"/>
      <c r="AG524" s="44"/>
      <c r="AH524" s="44"/>
      <c r="AI524" s="44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44"/>
      <c r="AC525" s="44"/>
      <c r="AD525" s="44"/>
      <c r="AE525" s="44"/>
      <c r="AF525" s="44"/>
      <c r="AG525" s="44"/>
      <c r="AH525" s="44"/>
      <c r="AI525" s="44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44"/>
      <c r="AC526" s="44"/>
      <c r="AD526" s="44"/>
      <c r="AE526" s="44"/>
      <c r="AF526" s="44"/>
      <c r="AG526" s="44"/>
      <c r="AH526" s="44"/>
      <c r="AI526" s="44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44"/>
      <c r="AC527" s="44"/>
      <c r="AD527" s="44"/>
      <c r="AE527" s="44"/>
      <c r="AF527" s="44"/>
      <c r="AG527" s="44"/>
      <c r="AH527" s="44"/>
      <c r="AI527" s="44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44"/>
      <c r="AC528" s="44"/>
      <c r="AD528" s="44"/>
      <c r="AE528" s="44"/>
      <c r="AF528" s="44"/>
      <c r="AG528" s="44"/>
      <c r="AH528" s="44"/>
      <c r="AI528" s="44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44"/>
      <c r="AC529" s="44"/>
      <c r="AD529" s="44"/>
      <c r="AE529" s="44"/>
      <c r="AF529" s="44"/>
      <c r="AG529" s="44"/>
      <c r="AH529" s="44"/>
      <c r="AI529" s="44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44"/>
      <c r="AC530" s="44"/>
      <c r="AD530" s="44"/>
      <c r="AE530" s="44"/>
      <c r="AF530" s="44"/>
      <c r="AG530" s="44"/>
      <c r="AH530" s="44"/>
      <c r="AI530" s="44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44"/>
      <c r="AC531" s="44"/>
      <c r="AD531" s="44"/>
      <c r="AE531" s="44"/>
      <c r="AF531" s="44"/>
      <c r="AG531" s="44"/>
      <c r="AH531" s="44"/>
      <c r="AI531" s="44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44"/>
      <c r="AC532" s="44"/>
      <c r="AD532" s="44"/>
      <c r="AE532" s="44"/>
      <c r="AF532" s="44"/>
      <c r="AG532" s="44"/>
      <c r="AH532" s="44"/>
      <c r="AI532" s="44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44"/>
      <c r="AC533" s="44"/>
      <c r="AD533" s="44"/>
      <c r="AE533" s="44"/>
      <c r="AF533" s="44"/>
      <c r="AG533" s="44"/>
      <c r="AH533" s="44"/>
      <c r="AI533" s="44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44"/>
      <c r="AC534" s="44"/>
      <c r="AD534" s="44"/>
      <c r="AE534" s="44"/>
      <c r="AF534" s="44"/>
      <c r="AG534" s="44"/>
      <c r="AH534" s="44"/>
      <c r="AI534" s="44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44"/>
      <c r="AC535" s="44"/>
      <c r="AD535" s="44"/>
      <c r="AE535" s="44"/>
      <c r="AF535" s="44"/>
      <c r="AG535" s="44"/>
      <c r="AH535" s="44"/>
      <c r="AI535" s="44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44"/>
      <c r="AC536" s="44"/>
      <c r="AD536" s="44"/>
      <c r="AE536" s="44"/>
      <c r="AF536" s="44"/>
      <c r="AG536" s="44"/>
      <c r="AH536" s="44"/>
      <c r="AI536" s="44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44"/>
      <c r="AC537" s="44"/>
      <c r="AD537" s="44"/>
      <c r="AE537" s="44"/>
      <c r="AF537" s="44"/>
      <c r="AG537" s="44"/>
      <c r="AH537" s="44"/>
      <c r="AI537" s="44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44"/>
      <c r="AC538" s="44"/>
      <c r="AD538" s="44"/>
      <c r="AE538" s="44"/>
      <c r="AF538" s="44"/>
      <c r="AG538" s="44"/>
      <c r="AH538" s="44"/>
      <c r="AI538" s="44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44"/>
      <c r="AC539" s="44"/>
      <c r="AD539" s="44"/>
      <c r="AE539" s="44"/>
      <c r="AF539" s="44"/>
      <c r="AG539" s="44"/>
      <c r="AH539" s="44"/>
      <c r="AI539" s="44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44"/>
      <c r="AC540" s="44"/>
      <c r="AD540" s="44"/>
      <c r="AE540" s="44"/>
      <c r="AF540" s="44"/>
      <c r="AG540" s="44"/>
      <c r="AH540" s="44"/>
      <c r="AI540" s="44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44"/>
      <c r="AC541" s="44"/>
      <c r="AD541" s="44"/>
      <c r="AE541" s="44"/>
      <c r="AF541" s="44"/>
      <c r="AG541" s="44"/>
      <c r="AH541" s="44"/>
      <c r="AI541" s="44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44"/>
      <c r="AC542" s="44"/>
      <c r="AD542" s="44"/>
      <c r="AE542" s="44"/>
      <c r="AF542" s="44"/>
      <c r="AG542" s="44"/>
      <c r="AH542" s="44"/>
      <c r="AI542" s="44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44"/>
      <c r="AC543" s="44"/>
      <c r="AD543" s="44"/>
      <c r="AE543" s="44"/>
      <c r="AF543" s="44"/>
      <c r="AG543" s="44"/>
      <c r="AH543" s="44"/>
      <c r="AI543" s="44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44"/>
      <c r="AC544" s="44"/>
      <c r="AD544" s="44"/>
      <c r="AE544" s="44"/>
      <c r="AF544" s="44"/>
      <c r="AG544" s="44"/>
      <c r="AH544" s="44"/>
      <c r="AI544" s="44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44"/>
      <c r="AC545" s="44"/>
      <c r="AD545" s="44"/>
      <c r="AE545" s="44"/>
      <c r="AF545" s="44"/>
      <c r="AG545" s="44"/>
      <c r="AH545" s="44"/>
      <c r="AI545" s="44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44"/>
      <c r="AC546" s="44"/>
      <c r="AD546" s="44"/>
      <c r="AE546" s="44"/>
      <c r="AF546" s="44"/>
      <c r="AG546" s="44"/>
      <c r="AH546" s="44"/>
      <c r="AI546" s="44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44"/>
      <c r="AC547" s="44"/>
      <c r="AD547" s="44"/>
      <c r="AE547" s="44"/>
      <c r="AF547" s="44"/>
      <c r="AG547" s="44"/>
      <c r="AH547" s="44"/>
      <c r="AI547" s="44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44"/>
      <c r="AC548" s="44"/>
      <c r="AD548" s="44"/>
      <c r="AE548" s="44"/>
      <c r="AF548" s="44"/>
      <c r="AG548" s="44"/>
      <c r="AH548" s="44"/>
      <c r="AI548" s="44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44"/>
      <c r="AC549" s="44"/>
      <c r="AD549" s="44"/>
      <c r="AE549" s="44"/>
      <c r="AF549" s="44"/>
      <c r="AG549" s="44"/>
      <c r="AH549" s="44"/>
      <c r="AI549" s="44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44"/>
      <c r="AC550" s="44"/>
      <c r="AD550" s="44"/>
      <c r="AE550" s="44"/>
      <c r="AF550" s="44"/>
      <c r="AG550" s="44"/>
      <c r="AH550" s="44"/>
      <c r="AI550" s="44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44"/>
      <c r="AC551" s="44"/>
      <c r="AD551" s="44"/>
      <c r="AE551" s="44"/>
      <c r="AF551" s="44"/>
      <c r="AG551" s="44"/>
      <c r="AH551" s="44"/>
      <c r="AI551" s="44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44"/>
      <c r="AC552" s="44"/>
      <c r="AD552" s="44"/>
      <c r="AE552" s="44"/>
      <c r="AF552" s="44"/>
      <c r="AG552" s="44"/>
      <c r="AH552" s="44"/>
      <c r="AI552" s="44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44"/>
      <c r="AC553" s="44"/>
      <c r="AD553" s="44"/>
      <c r="AE553" s="44"/>
      <c r="AF553" s="44"/>
      <c r="AG553" s="44"/>
      <c r="AH553" s="44"/>
      <c r="AI553" s="44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44"/>
      <c r="AC554" s="44"/>
      <c r="AD554" s="44"/>
      <c r="AE554" s="44"/>
      <c r="AF554" s="44"/>
      <c r="AG554" s="44"/>
      <c r="AH554" s="44"/>
      <c r="AI554" s="44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44"/>
      <c r="AC555" s="44"/>
      <c r="AD555" s="44"/>
      <c r="AE555" s="44"/>
      <c r="AF555" s="44"/>
      <c r="AG555" s="44"/>
      <c r="AH555" s="44"/>
      <c r="AI555" s="44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44"/>
      <c r="AC556" s="44"/>
      <c r="AD556" s="44"/>
      <c r="AE556" s="44"/>
      <c r="AF556" s="44"/>
      <c r="AG556" s="44"/>
      <c r="AH556" s="44"/>
      <c r="AI556" s="44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44"/>
      <c r="AC557" s="44"/>
      <c r="AD557" s="44"/>
      <c r="AE557" s="44"/>
      <c r="AF557" s="44"/>
      <c r="AG557" s="44"/>
      <c r="AH557" s="44"/>
      <c r="AI557" s="44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44"/>
      <c r="AC558" s="44"/>
      <c r="AD558" s="44"/>
      <c r="AE558" s="44"/>
      <c r="AF558" s="44"/>
      <c r="AG558" s="44"/>
      <c r="AH558" s="44"/>
      <c r="AI558" s="44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44"/>
      <c r="AC559" s="44"/>
      <c r="AD559" s="44"/>
      <c r="AE559" s="44"/>
      <c r="AF559" s="44"/>
      <c r="AG559" s="44"/>
      <c r="AH559" s="44"/>
      <c r="AI559" s="44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44"/>
      <c r="AC560" s="44"/>
      <c r="AD560" s="44"/>
      <c r="AE560" s="44"/>
      <c r="AF560" s="44"/>
      <c r="AG560" s="44"/>
      <c r="AH560" s="44"/>
      <c r="AI560" s="44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44"/>
      <c r="AC561" s="44"/>
      <c r="AD561" s="44"/>
      <c r="AE561" s="44"/>
      <c r="AF561" s="44"/>
      <c r="AG561" s="44"/>
      <c r="AH561" s="44"/>
      <c r="AI561" s="44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44"/>
      <c r="AC562" s="44"/>
      <c r="AD562" s="44"/>
      <c r="AE562" s="44"/>
      <c r="AF562" s="44"/>
      <c r="AG562" s="44"/>
      <c r="AH562" s="44"/>
      <c r="AI562" s="44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44"/>
      <c r="AC563" s="44"/>
      <c r="AD563" s="44"/>
      <c r="AE563" s="44"/>
      <c r="AF563" s="44"/>
      <c r="AG563" s="44"/>
      <c r="AH563" s="44"/>
      <c r="AI563" s="44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44"/>
      <c r="AC564" s="44"/>
      <c r="AD564" s="44"/>
      <c r="AE564" s="44"/>
      <c r="AF564" s="44"/>
      <c r="AG564" s="44"/>
      <c r="AH564" s="44"/>
      <c r="AI564" s="44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44"/>
      <c r="AC565" s="44"/>
      <c r="AD565" s="44"/>
      <c r="AE565" s="44"/>
      <c r="AF565" s="44"/>
      <c r="AG565" s="44"/>
      <c r="AH565" s="44"/>
      <c r="AI565" s="44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44"/>
      <c r="AC566" s="44"/>
      <c r="AD566" s="44"/>
      <c r="AE566" s="44"/>
      <c r="AF566" s="44"/>
      <c r="AG566" s="44"/>
      <c r="AH566" s="44"/>
      <c r="AI566" s="44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44"/>
      <c r="AC567" s="44"/>
      <c r="AD567" s="44"/>
      <c r="AE567" s="44"/>
      <c r="AF567" s="44"/>
      <c r="AG567" s="44"/>
      <c r="AH567" s="44"/>
      <c r="AI567" s="44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44"/>
      <c r="AC568" s="44"/>
      <c r="AD568" s="44"/>
      <c r="AE568" s="44"/>
      <c r="AF568" s="44"/>
      <c r="AG568" s="44"/>
      <c r="AH568" s="44"/>
      <c r="AI568" s="44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44"/>
      <c r="AC569" s="44"/>
      <c r="AD569" s="44"/>
      <c r="AE569" s="44"/>
      <c r="AF569" s="44"/>
      <c r="AG569" s="44"/>
      <c r="AH569" s="44"/>
      <c r="AI569" s="44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44"/>
      <c r="AC570" s="44"/>
      <c r="AD570" s="44"/>
      <c r="AE570" s="44"/>
      <c r="AF570" s="44"/>
      <c r="AG570" s="44"/>
      <c r="AH570" s="44"/>
      <c r="AI570" s="44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44"/>
      <c r="AC571" s="44"/>
      <c r="AD571" s="44"/>
      <c r="AE571" s="44"/>
      <c r="AF571" s="44"/>
      <c r="AG571" s="44"/>
      <c r="AH571" s="44"/>
      <c r="AI571" s="44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44"/>
      <c r="AC572" s="44"/>
      <c r="AD572" s="44"/>
      <c r="AE572" s="44"/>
      <c r="AF572" s="44"/>
      <c r="AG572" s="44"/>
      <c r="AH572" s="44"/>
      <c r="AI572" s="44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44"/>
      <c r="AC573" s="44"/>
      <c r="AD573" s="44"/>
      <c r="AE573" s="44"/>
      <c r="AF573" s="44"/>
      <c r="AG573" s="44"/>
      <c r="AH573" s="44"/>
      <c r="AI573" s="44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44"/>
      <c r="AC574" s="44"/>
      <c r="AD574" s="44"/>
      <c r="AE574" s="44"/>
      <c r="AF574" s="44"/>
      <c r="AG574" s="44"/>
      <c r="AH574" s="44"/>
      <c r="AI574" s="44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44"/>
      <c r="AC575" s="44"/>
      <c r="AD575" s="44"/>
      <c r="AE575" s="44"/>
      <c r="AF575" s="44"/>
      <c r="AG575" s="44"/>
      <c r="AH575" s="44"/>
      <c r="AI575" s="44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44"/>
      <c r="AC576" s="44"/>
      <c r="AD576" s="44"/>
      <c r="AE576" s="44"/>
      <c r="AF576" s="44"/>
      <c r="AG576" s="44"/>
      <c r="AH576" s="44"/>
      <c r="AI576" s="44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44"/>
      <c r="AC577" s="44"/>
      <c r="AD577" s="44"/>
      <c r="AE577" s="44"/>
      <c r="AF577" s="44"/>
      <c r="AG577" s="44"/>
      <c r="AH577" s="44"/>
      <c r="AI577" s="44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44"/>
      <c r="AC578" s="44"/>
      <c r="AD578" s="44"/>
      <c r="AE578" s="44"/>
      <c r="AF578" s="44"/>
      <c r="AG578" s="44"/>
      <c r="AH578" s="44"/>
      <c r="AI578" s="44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44"/>
      <c r="AC579" s="44"/>
      <c r="AD579" s="44"/>
      <c r="AE579" s="44"/>
      <c r="AF579" s="44"/>
      <c r="AG579" s="44"/>
      <c r="AH579" s="44"/>
      <c r="AI579" s="44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44"/>
      <c r="AC580" s="44"/>
      <c r="AD580" s="44"/>
      <c r="AE580" s="44"/>
      <c r="AF580" s="44"/>
      <c r="AG580" s="44"/>
      <c r="AH580" s="44"/>
      <c r="AI580" s="44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44"/>
      <c r="AC581" s="44"/>
      <c r="AD581" s="44"/>
      <c r="AE581" s="44"/>
      <c r="AF581" s="44"/>
      <c r="AG581" s="44"/>
      <c r="AH581" s="44"/>
      <c r="AI581" s="44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44"/>
      <c r="AC582" s="44"/>
      <c r="AD582" s="44"/>
      <c r="AE582" s="44"/>
      <c r="AF582" s="44"/>
      <c r="AG582" s="44"/>
      <c r="AH582" s="44"/>
      <c r="AI582" s="44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44"/>
      <c r="AC583" s="44"/>
      <c r="AD583" s="44"/>
      <c r="AE583" s="44"/>
      <c r="AF583" s="44"/>
      <c r="AG583" s="44"/>
      <c r="AH583" s="44"/>
      <c r="AI583" s="44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44"/>
      <c r="AC584" s="44"/>
      <c r="AD584" s="44"/>
      <c r="AE584" s="44"/>
      <c r="AF584" s="44"/>
      <c r="AG584" s="44"/>
      <c r="AH584" s="44"/>
      <c r="AI584" s="44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44"/>
      <c r="AC585" s="44"/>
      <c r="AD585" s="44"/>
      <c r="AE585" s="44"/>
      <c r="AF585" s="44"/>
      <c r="AG585" s="44"/>
      <c r="AH585" s="44"/>
      <c r="AI585" s="44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44"/>
      <c r="AC586" s="44"/>
      <c r="AD586" s="44"/>
      <c r="AE586" s="44"/>
      <c r="AF586" s="44"/>
      <c r="AG586" s="44"/>
      <c r="AH586" s="44"/>
      <c r="AI586" s="44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44"/>
      <c r="AC587" s="44"/>
      <c r="AD587" s="44"/>
      <c r="AE587" s="44"/>
      <c r="AF587" s="44"/>
      <c r="AG587" s="44"/>
      <c r="AH587" s="44"/>
      <c r="AI587" s="44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44"/>
      <c r="AC588" s="44"/>
      <c r="AD588" s="44"/>
      <c r="AE588" s="44"/>
      <c r="AF588" s="44"/>
      <c r="AG588" s="44"/>
      <c r="AH588" s="44"/>
      <c r="AI588" s="44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44"/>
      <c r="AC589" s="44"/>
      <c r="AD589" s="44"/>
      <c r="AE589" s="44"/>
      <c r="AF589" s="44"/>
      <c r="AG589" s="44"/>
      <c r="AH589" s="44"/>
      <c r="AI589" s="44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44"/>
      <c r="AC590" s="44"/>
      <c r="AD590" s="44"/>
      <c r="AE590" s="44"/>
      <c r="AF590" s="44"/>
      <c r="AG590" s="44"/>
      <c r="AH590" s="44"/>
      <c r="AI590" s="44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44"/>
      <c r="AC591" s="44"/>
      <c r="AD591" s="44"/>
      <c r="AE591" s="44"/>
      <c r="AF591" s="44"/>
      <c r="AG591" s="44"/>
      <c r="AH591" s="44"/>
      <c r="AI591" s="44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44"/>
      <c r="AC592" s="44"/>
      <c r="AD592" s="44"/>
      <c r="AE592" s="44"/>
      <c r="AF592" s="44"/>
      <c r="AG592" s="44"/>
      <c r="AH592" s="44"/>
      <c r="AI592" s="44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44"/>
      <c r="AC593" s="44"/>
      <c r="AD593" s="44"/>
      <c r="AE593" s="44"/>
      <c r="AF593" s="44"/>
      <c r="AG593" s="44"/>
      <c r="AH593" s="44"/>
      <c r="AI593" s="44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44"/>
      <c r="AC594" s="44"/>
      <c r="AD594" s="44"/>
      <c r="AE594" s="44"/>
      <c r="AF594" s="44"/>
      <c r="AG594" s="44"/>
      <c r="AH594" s="44"/>
      <c r="AI594" s="44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44"/>
      <c r="AC595" s="44"/>
      <c r="AD595" s="44"/>
      <c r="AE595" s="44"/>
      <c r="AF595" s="44"/>
      <c r="AG595" s="44"/>
      <c r="AH595" s="44"/>
      <c r="AI595" s="44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44"/>
      <c r="AC596" s="44"/>
      <c r="AD596" s="44"/>
      <c r="AE596" s="44"/>
      <c r="AF596" s="44"/>
      <c r="AG596" s="44"/>
      <c r="AH596" s="44"/>
      <c r="AI596" s="44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44"/>
      <c r="AC597" s="44"/>
      <c r="AD597" s="44"/>
      <c r="AE597" s="44"/>
      <c r="AF597" s="44"/>
      <c r="AG597" s="44"/>
      <c r="AH597" s="44"/>
      <c r="AI597" s="44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44"/>
      <c r="AC598" s="44"/>
      <c r="AD598" s="44"/>
      <c r="AE598" s="44"/>
      <c r="AF598" s="44"/>
      <c r="AG598" s="44"/>
      <c r="AH598" s="44"/>
      <c r="AI598" s="44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44"/>
      <c r="AC599" s="44"/>
      <c r="AD599" s="44"/>
      <c r="AE599" s="44"/>
      <c r="AF599" s="44"/>
      <c r="AG599" s="44"/>
      <c r="AH599" s="44"/>
      <c r="AI599" s="44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44"/>
      <c r="AC600" s="44"/>
      <c r="AD600" s="44"/>
      <c r="AE600" s="44"/>
      <c r="AF600" s="44"/>
      <c r="AG600" s="44"/>
      <c r="AH600" s="44"/>
      <c r="AI600" s="44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44"/>
      <c r="AC601" s="44"/>
      <c r="AD601" s="44"/>
      <c r="AE601" s="44"/>
      <c r="AF601" s="44"/>
      <c r="AG601" s="44"/>
      <c r="AH601" s="44"/>
      <c r="AI601" s="44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44"/>
      <c r="AC602" s="44"/>
      <c r="AD602" s="44"/>
      <c r="AE602" s="44"/>
      <c r="AF602" s="44"/>
      <c r="AG602" s="44"/>
      <c r="AH602" s="44"/>
      <c r="AI602" s="44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44"/>
      <c r="AC603" s="44"/>
      <c r="AD603" s="44"/>
      <c r="AE603" s="44"/>
      <c r="AF603" s="44"/>
      <c r="AG603" s="44"/>
      <c r="AH603" s="44"/>
      <c r="AI603" s="44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44"/>
      <c r="AC604" s="44"/>
      <c r="AD604" s="44"/>
      <c r="AE604" s="44"/>
      <c r="AF604" s="44"/>
      <c r="AG604" s="44"/>
      <c r="AH604" s="44"/>
      <c r="AI604" s="44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44"/>
      <c r="AC605" s="44"/>
      <c r="AD605" s="44"/>
      <c r="AE605" s="44"/>
      <c r="AF605" s="44"/>
      <c r="AG605" s="44"/>
      <c r="AH605" s="44"/>
      <c r="AI605" s="44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44"/>
      <c r="AC606" s="44"/>
      <c r="AD606" s="44"/>
      <c r="AE606" s="44"/>
      <c r="AF606" s="44"/>
      <c r="AG606" s="44"/>
      <c r="AH606" s="44"/>
      <c r="AI606" s="44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44"/>
      <c r="AC607" s="44"/>
      <c r="AD607" s="44"/>
      <c r="AE607" s="44"/>
      <c r="AF607" s="44"/>
      <c r="AG607" s="44"/>
      <c r="AH607" s="44"/>
      <c r="AI607" s="44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44"/>
      <c r="AC608" s="44"/>
      <c r="AD608" s="44"/>
      <c r="AE608" s="44"/>
      <c r="AF608" s="44"/>
      <c r="AG608" s="44"/>
      <c r="AH608" s="44"/>
      <c r="AI608" s="44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44"/>
      <c r="AC609" s="44"/>
      <c r="AD609" s="44"/>
      <c r="AE609" s="44"/>
      <c r="AF609" s="44"/>
      <c r="AG609" s="44"/>
      <c r="AH609" s="44"/>
      <c r="AI609" s="44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44"/>
      <c r="AC610" s="44"/>
      <c r="AD610" s="44"/>
      <c r="AE610" s="44"/>
      <c r="AF610" s="44"/>
      <c r="AG610" s="44"/>
      <c r="AH610" s="44"/>
      <c r="AI610" s="44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44"/>
      <c r="AC611" s="44"/>
      <c r="AD611" s="44"/>
      <c r="AE611" s="44"/>
      <c r="AF611" s="44"/>
      <c r="AG611" s="44"/>
      <c r="AH611" s="44"/>
      <c r="AI611" s="44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44"/>
      <c r="AC612" s="44"/>
      <c r="AD612" s="44"/>
      <c r="AE612" s="44"/>
      <c r="AF612" s="44"/>
      <c r="AG612" s="44"/>
      <c r="AH612" s="44"/>
      <c r="AI612" s="44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44"/>
      <c r="AC613" s="44"/>
      <c r="AD613" s="44"/>
      <c r="AE613" s="44"/>
      <c r="AF613" s="44"/>
      <c r="AG613" s="44"/>
      <c r="AH613" s="44"/>
      <c r="AI613" s="44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44"/>
      <c r="AC614" s="44"/>
      <c r="AD614" s="44"/>
      <c r="AE614" s="44"/>
      <c r="AF614" s="44"/>
      <c r="AG614" s="44"/>
      <c r="AH614" s="44"/>
      <c r="AI614" s="44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44"/>
      <c r="AC615" s="44"/>
      <c r="AD615" s="44"/>
      <c r="AE615" s="44"/>
      <c r="AF615" s="44"/>
      <c r="AG615" s="44"/>
      <c r="AH615" s="44"/>
      <c r="AI615" s="44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44"/>
      <c r="AC616" s="44"/>
      <c r="AD616" s="44"/>
      <c r="AE616" s="44"/>
      <c r="AF616" s="44"/>
      <c r="AG616" s="44"/>
      <c r="AH616" s="44"/>
      <c r="AI616" s="44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44"/>
      <c r="AC617" s="44"/>
      <c r="AD617" s="44"/>
      <c r="AE617" s="44"/>
      <c r="AF617" s="44"/>
      <c r="AG617" s="44"/>
      <c r="AH617" s="44"/>
      <c r="AI617" s="44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44"/>
      <c r="AC618" s="44"/>
      <c r="AD618" s="44"/>
      <c r="AE618" s="44"/>
      <c r="AF618" s="44"/>
      <c r="AG618" s="44"/>
      <c r="AH618" s="44"/>
      <c r="AI618" s="44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44"/>
      <c r="AC619" s="44"/>
      <c r="AD619" s="44"/>
      <c r="AE619" s="44"/>
      <c r="AF619" s="44"/>
      <c r="AG619" s="44"/>
      <c r="AH619" s="44"/>
      <c r="AI619" s="44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44"/>
      <c r="AC620" s="44"/>
      <c r="AD620" s="44"/>
      <c r="AE620" s="44"/>
      <c r="AF620" s="44"/>
      <c r="AG620" s="44"/>
      <c r="AH620" s="44"/>
      <c r="AI620" s="44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44"/>
      <c r="AC621" s="44"/>
      <c r="AD621" s="44"/>
      <c r="AE621" s="44"/>
      <c r="AF621" s="44"/>
      <c r="AG621" s="44"/>
      <c r="AH621" s="44"/>
      <c r="AI621" s="44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44"/>
      <c r="AC622" s="44"/>
      <c r="AD622" s="44"/>
      <c r="AE622" s="44"/>
      <c r="AF622" s="44"/>
      <c r="AG622" s="44"/>
      <c r="AH622" s="44"/>
      <c r="AI622" s="44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44"/>
      <c r="AC623" s="44"/>
      <c r="AD623" s="44"/>
      <c r="AE623" s="44"/>
      <c r="AF623" s="44"/>
      <c r="AG623" s="44"/>
      <c r="AH623" s="44"/>
      <c r="AI623" s="44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44"/>
      <c r="AC624" s="44"/>
      <c r="AD624" s="44"/>
      <c r="AE624" s="44"/>
      <c r="AF624" s="44"/>
      <c r="AG624" s="44"/>
      <c r="AH624" s="44"/>
      <c r="AI624" s="44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44"/>
      <c r="AC625" s="44"/>
      <c r="AD625" s="44"/>
      <c r="AE625" s="44"/>
      <c r="AF625" s="44"/>
      <c r="AG625" s="44"/>
      <c r="AH625" s="44"/>
      <c r="AI625" s="44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44"/>
      <c r="AC626" s="44"/>
      <c r="AD626" s="44"/>
      <c r="AE626" s="44"/>
      <c r="AF626" s="44"/>
      <c r="AG626" s="44"/>
      <c r="AH626" s="44"/>
      <c r="AI626" s="44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44"/>
      <c r="AC627" s="44"/>
      <c r="AD627" s="44"/>
      <c r="AE627" s="44"/>
      <c r="AF627" s="44"/>
      <c r="AG627" s="44"/>
      <c r="AH627" s="44"/>
      <c r="AI627" s="44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44"/>
      <c r="AC628" s="44"/>
      <c r="AD628" s="44"/>
      <c r="AE628" s="44"/>
      <c r="AF628" s="44"/>
      <c r="AG628" s="44"/>
      <c r="AH628" s="44"/>
      <c r="AI628" s="44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44"/>
      <c r="AC629" s="44"/>
      <c r="AD629" s="44"/>
      <c r="AE629" s="44"/>
      <c r="AF629" s="44"/>
      <c r="AG629" s="44"/>
      <c r="AH629" s="44"/>
      <c r="AI629" s="44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44"/>
      <c r="AC630" s="44"/>
      <c r="AD630" s="44"/>
      <c r="AE630" s="44"/>
      <c r="AF630" s="44"/>
      <c r="AG630" s="44"/>
      <c r="AH630" s="44"/>
      <c r="AI630" s="44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44"/>
      <c r="AC631" s="44"/>
      <c r="AD631" s="44"/>
      <c r="AE631" s="44"/>
      <c r="AF631" s="44"/>
      <c r="AG631" s="44"/>
      <c r="AH631" s="44"/>
      <c r="AI631" s="44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44"/>
      <c r="AC632" s="44"/>
      <c r="AD632" s="44"/>
      <c r="AE632" s="44"/>
      <c r="AF632" s="44"/>
      <c r="AG632" s="44"/>
      <c r="AH632" s="44"/>
      <c r="AI632" s="44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44"/>
      <c r="AC633" s="44"/>
      <c r="AD633" s="44"/>
      <c r="AE633" s="44"/>
      <c r="AF633" s="44"/>
      <c r="AG633" s="44"/>
      <c r="AH633" s="44"/>
      <c r="AI633" s="44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44"/>
      <c r="AC634" s="44"/>
      <c r="AD634" s="44"/>
      <c r="AE634" s="44"/>
      <c r="AF634" s="44"/>
      <c r="AG634" s="44"/>
      <c r="AH634" s="44"/>
      <c r="AI634" s="44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44"/>
      <c r="AC635" s="44"/>
      <c r="AD635" s="44"/>
      <c r="AE635" s="44"/>
      <c r="AF635" s="44"/>
      <c r="AG635" s="44"/>
      <c r="AH635" s="44"/>
      <c r="AI635" s="44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44"/>
      <c r="AC636" s="44"/>
      <c r="AD636" s="44"/>
      <c r="AE636" s="44"/>
      <c r="AF636" s="44"/>
      <c r="AG636" s="44"/>
      <c r="AH636" s="44"/>
      <c r="AI636" s="44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44"/>
      <c r="AC637" s="44"/>
      <c r="AD637" s="44"/>
      <c r="AE637" s="44"/>
      <c r="AF637" s="44"/>
      <c r="AG637" s="44"/>
      <c r="AH637" s="44"/>
      <c r="AI637" s="44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44"/>
      <c r="AC638" s="44"/>
      <c r="AD638" s="44"/>
      <c r="AE638" s="44"/>
      <c r="AF638" s="44"/>
      <c r="AG638" s="44"/>
      <c r="AH638" s="44"/>
      <c r="AI638" s="44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44"/>
      <c r="AC639" s="44"/>
      <c r="AD639" s="44"/>
      <c r="AE639" s="44"/>
      <c r="AF639" s="44"/>
      <c r="AG639" s="44"/>
      <c r="AH639" s="44"/>
      <c r="AI639" s="44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44"/>
      <c r="AC640" s="44"/>
      <c r="AD640" s="44"/>
      <c r="AE640" s="44"/>
      <c r="AF640" s="44"/>
      <c r="AG640" s="44"/>
      <c r="AH640" s="44"/>
      <c r="AI640" s="44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44"/>
      <c r="AC641" s="44"/>
      <c r="AD641" s="44"/>
      <c r="AE641" s="44"/>
      <c r="AF641" s="44"/>
      <c r="AG641" s="44"/>
      <c r="AH641" s="44"/>
      <c r="AI641" s="44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44"/>
      <c r="AC642" s="44"/>
      <c r="AD642" s="44"/>
      <c r="AE642" s="44"/>
      <c r="AF642" s="44"/>
      <c r="AG642" s="44"/>
      <c r="AH642" s="44"/>
      <c r="AI642" s="44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44"/>
      <c r="AC643" s="44"/>
      <c r="AD643" s="44"/>
      <c r="AE643" s="44"/>
      <c r="AF643" s="44"/>
      <c r="AG643" s="44"/>
      <c r="AH643" s="44"/>
      <c r="AI643" s="44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44"/>
      <c r="AC644" s="44"/>
      <c r="AD644" s="44"/>
      <c r="AE644" s="44"/>
      <c r="AF644" s="44"/>
      <c r="AG644" s="44"/>
      <c r="AH644" s="44"/>
      <c r="AI644" s="44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44"/>
      <c r="AC645" s="44"/>
      <c r="AD645" s="44"/>
      <c r="AE645" s="44"/>
      <c r="AF645" s="44"/>
      <c r="AG645" s="44"/>
      <c r="AH645" s="44"/>
      <c r="AI645" s="44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44"/>
      <c r="AC646" s="44"/>
      <c r="AD646" s="44"/>
      <c r="AE646" s="44"/>
      <c r="AF646" s="44"/>
      <c r="AG646" s="44"/>
      <c r="AH646" s="44"/>
      <c r="AI646" s="44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44"/>
      <c r="AC647" s="44"/>
      <c r="AD647" s="44"/>
      <c r="AE647" s="44"/>
      <c r="AF647" s="44"/>
      <c r="AG647" s="44"/>
      <c r="AH647" s="44"/>
      <c r="AI647" s="44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44"/>
      <c r="AC648" s="44"/>
      <c r="AD648" s="44"/>
      <c r="AE648" s="44"/>
      <c r="AF648" s="44"/>
      <c r="AG648" s="44"/>
      <c r="AH648" s="44"/>
      <c r="AI648" s="44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44"/>
      <c r="AC649" s="44"/>
      <c r="AD649" s="44"/>
      <c r="AE649" s="44"/>
      <c r="AF649" s="44"/>
      <c r="AG649" s="44"/>
      <c r="AH649" s="44"/>
      <c r="AI649" s="44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44"/>
      <c r="AC650" s="44"/>
      <c r="AD650" s="44"/>
      <c r="AE650" s="44"/>
      <c r="AF650" s="44"/>
      <c r="AG650" s="44"/>
      <c r="AH650" s="44"/>
      <c r="AI650" s="44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44"/>
      <c r="AC651" s="44"/>
      <c r="AD651" s="44"/>
      <c r="AE651" s="44"/>
      <c r="AF651" s="44"/>
      <c r="AG651" s="44"/>
      <c r="AH651" s="44"/>
      <c r="AI651" s="44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44"/>
      <c r="AC652" s="44"/>
      <c r="AD652" s="44"/>
      <c r="AE652" s="44"/>
      <c r="AF652" s="44"/>
      <c r="AG652" s="44"/>
      <c r="AH652" s="44"/>
      <c r="AI652" s="44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44"/>
      <c r="AC653" s="44"/>
      <c r="AD653" s="44"/>
      <c r="AE653" s="44"/>
      <c r="AF653" s="44"/>
      <c r="AG653" s="44"/>
      <c r="AH653" s="44"/>
      <c r="AI653" s="44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44"/>
      <c r="AC654" s="44"/>
      <c r="AD654" s="44"/>
      <c r="AE654" s="44"/>
      <c r="AF654" s="44"/>
      <c r="AG654" s="44"/>
      <c r="AH654" s="44"/>
      <c r="AI654" s="44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44"/>
      <c r="AC655" s="44"/>
      <c r="AD655" s="44"/>
      <c r="AE655" s="44"/>
      <c r="AF655" s="44"/>
      <c r="AG655" s="44"/>
      <c r="AH655" s="44"/>
      <c r="AI655" s="44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44"/>
      <c r="AC656" s="44"/>
      <c r="AD656" s="44"/>
      <c r="AE656" s="44"/>
      <c r="AF656" s="44"/>
      <c r="AG656" s="44"/>
      <c r="AH656" s="44"/>
      <c r="AI656" s="44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44"/>
      <c r="AC657" s="44"/>
      <c r="AD657" s="44"/>
      <c r="AE657" s="44"/>
      <c r="AF657" s="44"/>
      <c r="AG657" s="44"/>
      <c r="AH657" s="44"/>
      <c r="AI657" s="44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44"/>
      <c r="AC658" s="44"/>
      <c r="AD658" s="44"/>
      <c r="AE658" s="44"/>
      <c r="AF658" s="44"/>
      <c r="AG658" s="44"/>
      <c r="AH658" s="44"/>
      <c r="AI658" s="44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44"/>
      <c r="AC659" s="44"/>
      <c r="AD659" s="44"/>
      <c r="AE659" s="44"/>
      <c r="AF659" s="44"/>
      <c r="AG659" s="44"/>
      <c r="AH659" s="44"/>
      <c r="AI659" s="44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44"/>
      <c r="AC660" s="44"/>
      <c r="AD660" s="44"/>
      <c r="AE660" s="44"/>
      <c r="AF660" s="44"/>
      <c r="AG660" s="44"/>
      <c r="AH660" s="44"/>
      <c r="AI660" s="44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44"/>
      <c r="AC661" s="44"/>
      <c r="AD661" s="44"/>
      <c r="AE661" s="44"/>
      <c r="AF661" s="44"/>
      <c r="AG661" s="44"/>
      <c r="AH661" s="44"/>
      <c r="AI661" s="44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44"/>
      <c r="AC662" s="44"/>
      <c r="AD662" s="44"/>
      <c r="AE662" s="44"/>
      <c r="AF662" s="44"/>
      <c r="AG662" s="44"/>
      <c r="AH662" s="44"/>
      <c r="AI662" s="44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44"/>
      <c r="AC663" s="44"/>
      <c r="AD663" s="44"/>
      <c r="AE663" s="44"/>
      <c r="AF663" s="44"/>
      <c r="AG663" s="44"/>
      <c r="AH663" s="44"/>
      <c r="AI663" s="44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44"/>
      <c r="AC664" s="44"/>
      <c r="AD664" s="44"/>
      <c r="AE664" s="44"/>
      <c r="AF664" s="44"/>
      <c r="AG664" s="44"/>
      <c r="AH664" s="44"/>
      <c r="AI664" s="44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44"/>
      <c r="AC665" s="44"/>
      <c r="AD665" s="44"/>
      <c r="AE665" s="44"/>
      <c r="AF665" s="44"/>
      <c r="AG665" s="44"/>
      <c r="AH665" s="44"/>
      <c r="AI665" s="44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44"/>
      <c r="AC666" s="44"/>
      <c r="AD666" s="44"/>
      <c r="AE666" s="44"/>
      <c r="AF666" s="44"/>
      <c r="AG666" s="44"/>
      <c r="AH666" s="44"/>
      <c r="AI666" s="44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44"/>
      <c r="AC667" s="44"/>
      <c r="AD667" s="44"/>
      <c r="AE667" s="44"/>
      <c r="AF667" s="44"/>
      <c r="AG667" s="44"/>
      <c r="AH667" s="44"/>
      <c r="AI667" s="44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44"/>
      <c r="AC668" s="44"/>
      <c r="AD668" s="44"/>
      <c r="AE668" s="44"/>
      <c r="AF668" s="44"/>
      <c r="AG668" s="44"/>
      <c r="AH668" s="44"/>
      <c r="AI668" s="44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44"/>
      <c r="AC669" s="44"/>
      <c r="AD669" s="44"/>
      <c r="AE669" s="44"/>
      <c r="AF669" s="44"/>
      <c r="AG669" s="44"/>
      <c r="AH669" s="44"/>
      <c r="AI669" s="44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44"/>
      <c r="AC670" s="44"/>
      <c r="AD670" s="44"/>
      <c r="AE670" s="44"/>
      <c r="AF670" s="44"/>
      <c r="AG670" s="44"/>
      <c r="AH670" s="44"/>
      <c r="AI670" s="44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44"/>
      <c r="AC671" s="44"/>
      <c r="AD671" s="44"/>
      <c r="AE671" s="44"/>
      <c r="AF671" s="44"/>
      <c r="AG671" s="44"/>
      <c r="AH671" s="44"/>
      <c r="AI671" s="44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44"/>
      <c r="AC672" s="44"/>
      <c r="AD672" s="44"/>
      <c r="AE672" s="44"/>
      <c r="AF672" s="44"/>
      <c r="AG672" s="44"/>
      <c r="AH672" s="44"/>
      <c r="AI672" s="44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44"/>
      <c r="AC673" s="44"/>
      <c r="AD673" s="44"/>
      <c r="AE673" s="44"/>
      <c r="AF673" s="44"/>
      <c r="AG673" s="44"/>
      <c r="AH673" s="44"/>
      <c r="AI673" s="44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44"/>
      <c r="AC674" s="44"/>
      <c r="AD674" s="44"/>
      <c r="AE674" s="44"/>
      <c r="AF674" s="44"/>
      <c r="AG674" s="44"/>
      <c r="AH674" s="44"/>
      <c r="AI674" s="44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44"/>
      <c r="AC675" s="44"/>
      <c r="AD675" s="44"/>
      <c r="AE675" s="44"/>
      <c r="AF675" s="44"/>
      <c r="AG675" s="44"/>
      <c r="AH675" s="44"/>
      <c r="AI675" s="44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44"/>
      <c r="AC676" s="44"/>
      <c r="AD676" s="44"/>
      <c r="AE676" s="44"/>
      <c r="AF676" s="44"/>
      <c r="AG676" s="44"/>
      <c r="AH676" s="44"/>
      <c r="AI676" s="44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44"/>
      <c r="AC677" s="44"/>
      <c r="AD677" s="44"/>
      <c r="AE677" s="44"/>
      <c r="AF677" s="44"/>
      <c r="AG677" s="44"/>
      <c r="AH677" s="44"/>
      <c r="AI677" s="44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44"/>
      <c r="AC678" s="44"/>
      <c r="AD678" s="44"/>
      <c r="AE678" s="44"/>
      <c r="AF678" s="44"/>
      <c r="AG678" s="44"/>
      <c r="AH678" s="44"/>
      <c r="AI678" s="44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44"/>
      <c r="AC679" s="44"/>
      <c r="AD679" s="44"/>
      <c r="AE679" s="44"/>
      <c r="AF679" s="44"/>
      <c r="AG679" s="44"/>
      <c r="AH679" s="44"/>
      <c r="AI679" s="44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44"/>
      <c r="AC680" s="44"/>
      <c r="AD680" s="44"/>
      <c r="AE680" s="44"/>
      <c r="AF680" s="44"/>
      <c r="AG680" s="44"/>
      <c r="AH680" s="44"/>
      <c r="AI680" s="44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44"/>
      <c r="AC681" s="44"/>
      <c r="AD681" s="44"/>
      <c r="AE681" s="44"/>
      <c r="AF681" s="44"/>
      <c r="AG681" s="44"/>
      <c r="AH681" s="44"/>
      <c r="AI681" s="44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44"/>
      <c r="AC682" s="44"/>
      <c r="AD682" s="44"/>
      <c r="AE682" s="44"/>
      <c r="AF682" s="44"/>
      <c r="AG682" s="44"/>
      <c r="AH682" s="44"/>
      <c r="AI682" s="44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44"/>
      <c r="AC683" s="44"/>
      <c r="AD683" s="44"/>
      <c r="AE683" s="44"/>
      <c r="AF683" s="44"/>
      <c r="AG683" s="44"/>
      <c r="AH683" s="44"/>
      <c r="AI683" s="44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44"/>
      <c r="AC684" s="44"/>
      <c r="AD684" s="44"/>
      <c r="AE684" s="44"/>
      <c r="AF684" s="44"/>
      <c r="AG684" s="44"/>
      <c r="AH684" s="44"/>
      <c r="AI684" s="44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44"/>
      <c r="AC685" s="44"/>
      <c r="AD685" s="44"/>
      <c r="AE685" s="44"/>
      <c r="AF685" s="44"/>
      <c r="AG685" s="44"/>
      <c r="AH685" s="44"/>
      <c r="AI685" s="44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44"/>
      <c r="AC686" s="44"/>
      <c r="AD686" s="44"/>
      <c r="AE686" s="44"/>
      <c r="AF686" s="44"/>
      <c r="AG686" s="44"/>
      <c r="AH686" s="44"/>
      <c r="AI686" s="44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44"/>
      <c r="AC687" s="44"/>
      <c r="AD687" s="44"/>
      <c r="AE687" s="44"/>
      <c r="AF687" s="44"/>
      <c r="AG687" s="44"/>
      <c r="AH687" s="44"/>
      <c r="AI687" s="44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44"/>
      <c r="AC688" s="44"/>
      <c r="AD688" s="44"/>
      <c r="AE688" s="44"/>
      <c r="AF688" s="44"/>
      <c r="AG688" s="44"/>
      <c r="AH688" s="44"/>
      <c r="AI688" s="44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44"/>
      <c r="AC689" s="44"/>
      <c r="AD689" s="44"/>
      <c r="AE689" s="44"/>
      <c r="AF689" s="44"/>
      <c r="AG689" s="44"/>
      <c r="AH689" s="44"/>
      <c r="AI689" s="44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44"/>
      <c r="AC690" s="44"/>
      <c r="AD690" s="44"/>
      <c r="AE690" s="44"/>
      <c r="AF690" s="44"/>
      <c r="AG690" s="44"/>
      <c r="AH690" s="44"/>
      <c r="AI690" s="44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44"/>
      <c r="AC691" s="44"/>
      <c r="AD691" s="44"/>
      <c r="AE691" s="44"/>
      <c r="AF691" s="44"/>
      <c r="AG691" s="44"/>
      <c r="AH691" s="44"/>
      <c r="AI691" s="44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44"/>
      <c r="AC692" s="44"/>
      <c r="AD692" s="44"/>
      <c r="AE692" s="44"/>
      <c r="AF692" s="44"/>
      <c r="AG692" s="44"/>
      <c r="AH692" s="44"/>
      <c r="AI692" s="44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44"/>
      <c r="AC693" s="44"/>
      <c r="AD693" s="44"/>
      <c r="AE693" s="44"/>
      <c r="AF693" s="44"/>
      <c r="AG693" s="44"/>
      <c r="AH693" s="44"/>
      <c r="AI693" s="44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44"/>
      <c r="AC694" s="44"/>
      <c r="AD694" s="44"/>
      <c r="AE694" s="44"/>
      <c r="AF694" s="44"/>
      <c r="AG694" s="44"/>
      <c r="AH694" s="44"/>
      <c r="AI694" s="44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44"/>
      <c r="AC695" s="44"/>
      <c r="AD695" s="44"/>
      <c r="AE695" s="44"/>
      <c r="AF695" s="44"/>
      <c r="AG695" s="44"/>
      <c r="AH695" s="44"/>
      <c r="AI695" s="44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44"/>
      <c r="AC696" s="44"/>
      <c r="AD696" s="44"/>
      <c r="AE696" s="44"/>
      <c r="AF696" s="44"/>
      <c r="AG696" s="44"/>
      <c r="AH696" s="44"/>
      <c r="AI696" s="44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44"/>
      <c r="AC697" s="44"/>
      <c r="AD697" s="44"/>
      <c r="AE697" s="44"/>
      <c r="AF697" s="44"/>
      <c r="AG697" s="44"/>
      <c r="AH697" s="44"/>
      <c r="AI697" s="44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44"/>
      <c r="AC698" s="44"/>
      <c r="AD698" s="44"/>
      <c r="AE698" s="44"/>
      <c r="AF698" s="44"/>
      <c r="AG698" s="44"/>
      <c r="AH698" s="44"/>
      <c r="AI698" s="44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44"/>
      <c r="AC699" s="44"/>
      <c r="AD699" s="44"/>
      <c r="AE699" s="44"/>
      <c r="AF699" s="44"/>
      <c r="AG699" s="44"/>
      <c r="AH699" s="44"/>
      <c r="AI699" s="44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44"/>
      <c r="AC700" s="44"/>
      <c r="AD700" s="44"/>
      <c r="AE700" s="44"/>
      <c r="AF700" s="44"/>
      <c r="AG700" s="44"/>
      <c r="AH700" s="44"/>
      <c r="AI700" s="44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44"/>
      <c r="AC701" s="44"/>
      <c r="AD701" s="44"/>
      <c r="AE701" s="44"/>
      <c r="AF701" s="44"/>
      <c r="AG701" s="44"/>
      <c r="AH701" s="44"/>
      <c r="AI701" s="44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44"/>
      <c r="AC702" s="44"/>
      <c r="AD702" s="44"/>
      <c r="AE702" s="44"/>
      <c r="AF702" s="44"/>
      <c r="AG702" s="44"/>
      <c r="AH702" s="44"/>
      <c r="AI702" s="44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44"/>
      <c r="AC703" s="44"/>
      <c r="AD703" s="44"/>
      <c r="AE703" s="44"/>
      <c r="AF703" s="44"/>
      <c r="AG703" s="44"/>
      <c r="AH703" s="44"/>
      <c r="AI703" s="44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44"/>
      <c r="AC704" s="44"/>
      <c r="AD704" s="44"/>
      <c r="AE704" s="44"/>
      <c r="AF704" s="44"/>
      <c r="AG704" s="44"/>
      <c r="AH704" s="44"/>
      <c r="AI704" s="44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44"/>
      <c r="AC705" s="44"/>
      <c r="AD705" s="44"/>
      <c r="AE705" s="44"/>
      <c r="AF705" s="44"/>
      <c r="AG705" s="44"/>
      <c r="AH705" s="44"/>
      <c r="AI705" s="44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44"/>
      <c r="AC706" s="44"/>
      <c r="AD706" s="44"/>
      <c r="AE706" s="44"/>
      <c r="AF706" s="44"/>
      <c r="AG706" s="44"/>
      <c r="AH706" s="44"/>
      <c r="AI706" s="44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44"/>
      <c r="AC707" s="44"/>
      <c r="AD707" s="44"/>
      <c r="AE707" s="44"/>
      <c r="AF707" s="44"/>
      <c r="AG707" s="44"/>
      <c r="AH707" s="44"/>
      <c r="AI707" s="44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44"/>
      <c r="AC708" s="44"/>
      <c r="AD708" s="44"/>
      <c r="AE708" s="44"/>
      <c r="AF708" s="44"/>
      <c r="AG708" s="44"/>
      <c r="AH708" s="44"/>
      <c r="AI708" s="44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44"/>
      <c r="AC709" s="44"/>
      <c r="AD709" s="44"/>
      <c r="AE709" s="44"/>
      <c r="AF709" s="44"/>
      <c r="AG709" s="44"/>
      <c r="AH709" s="44"/>
      <c r="AI709" s="44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44"/>
      <c r="AC710" s="44"/>
      <c r="AD710" s="44"/>
      <c r="AE710" s="44"/>
      <c r="AF710" s="44"/>
      <c r="AG710" s="44"/>
      <c r="AH710" s="44"/>
      <c r="AI710" s="44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44"/>
      <c r="AC711" s="44"/>
      <c r="AD711" s="44"/>
      <c r="AE711" s="44"/>
      <c r="AF711" s="44"/>
      <c r="AG711" s="44"/>
      <c r="AH711" s="44"/>
      <c r="AI711" s="44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44"/>
      <c r="AC712" s="44"/>
      <c r="AD712" s="44"/>
      <c r="AE712" s="44"/>
      <c r="AF712" s="44"/>
      <c r="AG712" s="44"/>
      <c r="AH712" s="44"/>
      <c r="AI712" s="44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44"/>
      <c r="AC713" s="44"/>
      <c r="AD713" s="44"/>
      <c r="AE713" s="44"/>
      <c r="AF713" s="44"/>
      <c r="AG713" s="44"/>
      <c r="AH713" s="44"/>
      <c r="AI713" s="44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44"/>
      <c r="AC714" s="44"/>
      <c r="AD714" s="44"/>
      <c r="AE714" s="44"/>
      <c r="AF714" s="44"/>
      <c r="AG714" s="44"/>
      <c r="AH714" s="44"/>
      <c r="AI714" s="44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44"/>
      <c r="AC715" s="44"/>
      <c r="AD715" s="44"/>
      <c r="AE715" s="44"/>
      <c r="AF715" s="44"/>
      <c r="AG715" s="44"/>
      <c r="AH715" s="44"/>
      <c r="AI715" s="44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44"/>
      <c r="AC716" s="44"/>
      <c r="AD716" s="44"/>
      <c r="AE716" s="44"/>
      <c r="AF716" s="44"/>
      <c r="AG716" s="44"/>
      <c r="AH716" s="44"/>
      <c r="AI716" s="44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44"/>
      <c r="AC717" s="44"/>
      <c r="AD717" s="44"/>
      <c r="AE717" s="44"/>
      <c r="AF717" s="44"/>
      <c r="AG717" s="44"/>
      <c r="AH717" s="44"/>
      <c r="AI717" s="44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44"/>
      <c r="AC718" s="44"/>
      <c r="AD718" s="44"/>
      <c r="AE718" s="44"/>
      <c r="AF718" s="44"/>
      <c r="AG718" s="44"/>
      <c r="AH718" s="44"/>
      <c r="AI718" s="44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44"/>
      <c r="AC719" s="44"/>
      <c r="AD719" s="44"/>
      <c r="AE719" s="44"/>
      <c r="AF719" s="44"/>
      <c r="AG719" s="44"/>
      <c r="AH719" s="44"/>
      <c r="AI719" s="44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44"/>
      <c r="AC720" s="44"/>
      <c r="AD720" s="44"/>
      <c r="AE720" s="44"/>
      <c r="AF720" s="44"/>
      <c r="AG720" s="44"/>
      <c r="AH720" s="44"/>
      <c r="AI720" s="44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44"/>
      <c r="AC721" s="44"/>
      <c r="AD721" s="44"/>
      <c r="AE721" s="44"/>
      <c r="AF721" s="44"/>
      <c r="AG721" s="44"/>
      <c r="AH721" s="44"/>
      <c r="AI721" s="44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44"/>
      <c r="AC722" s="44"/>
      <c r="AD722" s="44"/>
      <c r="AE722" s="44"/>
      <c r="AF722" s="44"/>
      <c r="AG722" s="44"/>
      <c r="AH722" s="44"/>
      <c r="AI722" s="44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44"/>
      <c r="AC723" s="44"/>
      <c r="AD723" s="44"/>
      <c r="AE723" s="44"/>
      <c r="AF723" s="44"/>
      <c r="AG723" s="44"/>
      <c r="AH723" s="44"/>
      <c r="AI723" s="44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44"/>
      <c r="AC724" s="44"/>
      <c r="AD724" s="44"/>
      <c r="AE724" s="44"/>
      <c r="AF724" s="44"/>
      <c r="AG724" s="44"/>
      <c r="AH724" s="44"/>
      <c r="AI724" s="44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44"/>
      <c r="AC725" s="44"/>
      <c r="AD725" s="44"/>
      <c r="AE725" s="44"/>
      <c r="AF725" s="44"/>
      <c r="AG725" s="44"/>
      <c r="AH725" s="44"/>
      <c r="AI725" s="44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44"/>
      <c r="AC726" s="44"/>
      <c r="AD726" s="44"/>
      <c r="AE726" s="44"/>
      <c r="AF726" s="44"/>
      <c r="AG726" s="44"/>
      <c r="AH726" s="44"/>
      <c r="AI726" s="44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44"/>
      <c r="AC727" s="44"/>
      <c r="AD727" s="44"/>
      <c r="AE727" s="44"/>
      <c r="AF727" s="44"/>
      <c r="AG727" s="44"/>
      <c r="AH727" s="44"/>
      <c r="AI727" s="44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44"/>
      <c r="AC728" s="44"/>
      <c r="AD728" s="44"/>
      <c r="AE728" s="44"/>
      <c r="AF728" s="44"/>
      <c r="AG728" s="44"/>
      <c r="AH728" s="44"/>
      <c r="AI728" s="44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44"/>
      <c r="AC729" s="44"/>
      <c r="AD729" s="44"/>
      <c r="AE729" s="44"/>
      <c r="AF729" s="44"/>
      <c r="AG729" s="44"/>
      <c r="AH729" s="44"/>
      <c r="AI729" s="44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44"/>
      <c r="AC730" s="44"/>
      <c r="AD730" s="44"/>
      <c r="AE730" s="44"/>
      <c r="AF730" s="44"/>
      <c r="AG730" s="44"/>
      <c r="AH730" s="44"/>
      <c r="AI730" s="44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44"/>
      <c r="AC731" s="44"/>
      <c r="AD731" s="44"/>
      <c r="AE731" s="44"/>
      <c r="AF731" s="44"/>
      <c r="AG731" s="44"/>
      <c r="AH731" s="44"/>
      <c r="AI731" s="44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44"/>
      <c r="AC732" s="44"/>
      <c r="AD732" s="44"/>
      <c r="AE732" s="44"/>
      <c r="AF732" s="44"/>
      <c r="AG732" s="44"/>
      <c r="AH732" s="44"/>
      <c r="AI732" s="44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44"/>
      <c r="AC733" s="44"/>
      <c r="AD733" s="44"/>
      <c r="AE733" s="44"/>
      <c r="AF733" s="44"/>
      <c r="AG733" s="44"/>
      <c r="AH733" s="44"/>
      <c r="AI733" s="44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44"/>
      <c r="AC734" s="44"/>
      <c r="AD734" s="44"/>
      <c r="AE734" s="44"/>
      <c r="AF734" s="44"/>
      <c r="AG734" s="44"/>
      <c r="AH734" s="44"/>
      <c r="AI734" s="44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44"/>
      <c r="AC735" s="44"/>
      <c r="AD735" s="44"/>
      <c r="AE735" s="44"/>
      <c r="AF735" s="44"/>
      <c r="AG735" s="44"/>
      <c r="AH735" s="44"/>
      <c r="AI735" s="44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44"/>
      <c r="AC736" s="44"/>
      <c r="AD736" s="44"/>
      <c r="AE736" s="44"/>
      <c r="AF736" s="44"/>
      <c r="AG736" s="44"/>
      <c r="AH736" s="44"/>
      <c r="AI736" s="44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44"/>
      <c r="AC737" s="44"/>
      <c r="AD737" s="44"/>
      <c r="AE737" s="44"/>
      <c r="AF737" s="44"/>
      <c r="AG737" s="44"/>
      <c r="AH737" s="44"/>
      <c r="AI737" s="44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44"/>
      <c r="AC738" s="44"/>
      <c r="AD738" s="44"/>
      <c r="AE738" s="44"/>
      <c r="AF738" s="44"/>
      <c r="AG738" s="44"/>
      <c r="AH738" s="44"/>
      <c r="AI738" s="44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44"/>
      <c r="AC739" s="44"/>
      <c r="AD739" s="44"/>
      <c r="AE739" s="44"/>
      <c r="AF739" s="44"/>
      <c r="AG739" s="44"/>
      <c r="AH739" s="44"/>
      <c r="AI739" s="44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44"/>
      <c r="AC740" s="44"/>
      <c r="AD740" s="44"/>
      <c r="AE740" s="44"/>
      <c r="AF740" s="44"/>
      <c r="AG740" s="44"/>
      <c r="AH740" s="44"/>
      <c r="AI740" s="44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44"/>
      <c r="AC741" s="44"/>
      <c r="AD741" s="44"/>
      <c r="AE741" s="44"/>
      <c r="AF741" s="44"/>
      <c r="AG741" s="44"/>
      <c r="AH741" s="44"/>
      <c r="AI741" s="44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44"/>
      <c r="AC742" s="44"/>
      <c r="AD742" s="44"/>
      <c r="AE742" s="44"/>
      <c r="AF742" s="44"/>
      <c r="AG742" s="44"/>
      <c r="AH742" s="44"/>
      <c r="AI742" s="44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44"/>
      <c r="AC743" s="44"/>
      <c r="AD743" s="44"/>
      <c r="AE743" s="44"/>
      <c r="AF743" s="44"/>
      <c r="AG743" s="44"/>
      <c r="AH743" s="44"/>
      <c r="AI743" s="44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44"/>
      <c r="AC744" s="44"/>
      <c r="AD744" s="44"/>
      <c r="AE744" s="44"/>
      <c r="AF744" s="44"/>
      <c r="AG744" s="44"/>
      <c r="AH744" s="44"/>
      <c r="AI744" s="44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44"/>
      <c r="AC745" s="44"/>
      <c r="AD745" s="44"/>
      <c r="AE745" s="44"/>
      <c r="AF745" s="44"/>
      <c r="AG745" s="44"/>
      <c r="AH745" s="44"/>
      <c r="AI745" s="44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44"/>
      <c r="AC746" s="44"/>
      <c r="AD746" s="44"/>
      <c r="AE746" s="44"/>
      <c r="AF746" s="44"/>
      <c r="AG746" s="44"/>
      <c r="AH746" s="44"/>
      <c r="AI746" s="44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44"/>
      <c r="AC747" s="44"/>
      <c r="AD747" s="44"/>
      <c r="AE747" s="44"/>
      <c r="AF747" s="44"/>
      <c r="AG747" s="44"/>
      <c r="AH747" s="44"/>
      <c r="AI747" s="44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44"/>
      <c r="AC748" s="44"/>
      <c r="AD748" s="44"/>
      <c r="AE748" s="44"/>
      <c r="AF748" s="44"/>
      <c r="AG748" s="44"/>
      <c r="AH748" s="44"/>
      <c r="AI748" s="44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44"/>
      <c r="AC749" s="44"/>
      <c r="AD749" s="44"/>
      <c r="AE749" s="44"/>
      <c r="AF749" s="44"/>
      <c r="AG749" s="44"/>
      <c r="AH749" s="44"/>
      <c r="AI749" s="44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44"/>
      <c r="AC750" s="44"/>
      <c r="AD750" s="44"/>
      <c r="AE750" s="44"/>
      <c r="AF750" s="44"/>
      <c r="AG750" s="44"/>
      <c r="AH750" s="44"/>
      <c r="AI750" s="44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44"/>
      <c r="AC751" s="44"/>
      <c r="AD751" s="44"/>
      <c r="AE751" s="44"/>
      <c r="AF751" s="44"/>
      <c r="AG751" s="44"/>
      <c r="AH751" s="44"/>
      <c r="AI751" s="44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44"/>
      <c r="AC752" s="44"/>
      <c r="AD752" s="44"/>
      <c r="AE752" s="44"/>
      <c r="AF752" s="44"/>
      <c r="AG752" s="44"/>
      <c r="AH752" s="44"/>
      <c r="AI752" s="44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44"/>
      <c r="AC753" s="44"/>
      <c r="AD753" s="44"/>
      <c r="AE753" s="44"/>
      <c r="AF753" s="44"/>
      <c r="AG753" s="44"/>
      <c r="AH753" s="44"/>
      <c r="AI753" s="44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44"/>
      <c r="AC754" s="44"/>
      <c r="AD754" s="44"/>
      <c r="AE754" s="44"/>
      <c r="AF754" s="44"/>
      <c r="AG754" s="44"/>
      <c r="AH754" s="44"/>
      <c r="AI754" s="44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44"/>
      <c r="AC755" s="44"/>
      <c r="AD755" s="44"/>
      <c r="AE755" s="44"/>
      <c r="AF755" s="44"/>
      <c r="AG755" s="44"/>
      <c r="AH755" s="44"/>
      <c r="AI755" s="44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44"/>
      <c r="AC756" s="44"/>
      <c r="AD756" s="44"/>
      <c r="AE756" s="44"/>
      <c r="AF756" s="44"/>
      <c r="AG756" s="44"/>
      <c r="AH756" s="44"/>
      <c r="AI756" s="44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44"/>
      <c r="AC757" s="44"/>
      <c r="AD757" s="44"/>
      <c r="AE757" s="44"/>
      <c r="AF757" s="44"/>
      <c r="AG757" s="44"/>
      <c r="AH757" s="44"/>
      <c r="AI757" s="44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44"/>
      <c r="AC758" s="44"/>
      <c r="AD758" s="44"/>
      <c r="AE758" s="44"/>
      <c r="AF758" s="44"/>
      <c r="AG758" s="44"/>
      <c r="AH758" s="44"/>
      <c r="AI758" s="44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44"/>
      <c r="AC759" s="44"/>
      <c r="AD759" s="44"/>
      <c r="AE759" s="44"/>
      <c r="AF759" s="44"/>
      <c r="AG759" s="44"/>
      <c r="AH759" s="44"/>
      <c r="AI759" s="44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44"/>
      <c r="AC760" s="44"/>
      <c r="AD760" s="44"/>
      <c r="AE760" s="44"/>
      <c r="AF760" s="44"/>
      <c r="AG760" s="44"/>
      <c r="AH760" s="44"/>
      <c r="AI760" s="44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44"/>
      <c r="AC761" s="44"/>
      <c r="AD761" s="44"/>
      <c r="AE761" s="44"/>
      <c r="AF761" s="44"/>
      <c r="AG761" s="44"/>
      <c r="AH761" s="44"/>
      <c r="AI761" s="44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44"/>
      <c r="AC762" s="44"/>
      <c r="AD762" s="44"/>
      <c r="AE762" s="44"/>
      <c r="AF762" s="44"/>
      <c r="AG762" s="44"/>
      <c r="AH762" s="44"/>
      <c r="AI762" s="44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44"/>
      <c r="AC763" s="44"/>
      <c r="AD763" s="44"/>
      <c r="AE763" s="44"/>
      <c r="AF763" s="44"/>
      <c r="AG763" s="44"/>
      <c r="AH763" s="44"/>
      <c r="AI763" s="44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44"/>
      <c r="AC764" s="44"/>
      <c r="AD764" s="44"/>
      <c r="AE764" s="44"/>
      <c r="AF764" s="44"/>
      <c r="AG764" s="44"/>
      <c r="AH764" s="44"/>
      <c r="AI764" s="44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44"/>
      <c r="AC765" s="44"/>
      <c r="AD765" s="44"/>
      <c r="AE765" s="44"/>
      <c r="AF765" s="44"/>
      <c r="AG765" s="44"/>
      <c r="AH765" s="44"/>
      <c r="AI765" s="44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44"/>
      <c r="AC766" s="44"/>
      <c r="AD766" s="44"/>
      <c r="AE766" s="44"/>
      <c r="AF766" s="44"/>
      <c r="AG766" s="44"/>
      <c r="AH766" s="44"/>
      <c r="AI766" s="44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44"/>
      <c r="AC767" s="44"/>
      <c r="AD767" s="44"/>
      <c r="AE767" s="44"/>
      <c r="AF767" s="44"/>
      <c r="AG767" s="44"/>
      <c r="AH767" s="44"/>
      <c r="AI767" s="44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44"/>
      <c r="AC768" s="44"/>
      <c r="AD768" s="44"/>
      <c r="AE768" s="44"/>
      <c r="AF768" s="44"/>
      <c r="AG768" s="44"/>
      <c r="AH768" s="44"/>
      <c r="AI768" s="44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44"/>
      <c r="AC769" s="44"/>
      <c r="AD769" s="44"/>
      <c r="AE769" s="44"/>
      <c r="AF769" s="44"/>
      <c r="AG769" s="44"/>
      <c r="AH769" s="44"/>
      <c r="AI769" s="44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44"/>
      <c r="AC770" s="44"/>
      <c r="AD770" s="44"/>
      <c r="AE770" s="44"/>
      <c r="AF770" s="44"/>
      <c r="AG770" s="44"/>
      <c r="AH770" s="44"/>
      <c r="AI770" s="44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44"/>
      <c r="AC771" s="44"/>
      <c r="AD771" s="44"/>
      <c r="AE771" s="44"/>
      <c r="AF771" s="44"/>
      <c r="AG771" s="44"/>
      <c r="AH771" s="44"/>
      <c r="AI771" s="44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44"/>
      <c r="AC772" s="44"/>
      <c r="AD772" s="44"/>
      <c r="AE772" s="44"/>
      <c r="AF772" s="44"/>
      <c r="AG772" s="44"/>
      <c r="AH772" s="44"/>
      <c r="AI772" s="44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44"/>
      <c r="AC773" s="44"/>
      <c r="AD773" s="44"/>
      <c r="AE773" s="44"/>
      <c r="AF773" s="44"/>
      <c r="AG773" s="44"/>
      <c r="AH773" s="44"/>
      <c r="AI773" s="44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44"/>
      <c r="AC774" s="44"/>
      <c r="AD774" s="44"/>
      <c r="AE774" s="44"/>
      <c r="AF774" s="44"/>
      <c r="AG774" s="44"/>
      <c r="AH774" s="44"/>
      <c r="AI774" s="44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44"/>
      <c r="AC775" s="44"/>
      <c r="AD775" s="44"/>
      <c r="AE775" s="44"/>
      <c r="AF775" s="44"/>
      <c r="AG775" s="44"/>
      <c r="AH775" s="44"/>
      <c r="AI775" s="44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44"/>
      <c r="AC776" s="44"/>
      <c r="AD776" s="44"/>
      <c r="AE776" s="44"/>
      <c r="AF776" s="44"/>
      <c r="AG776" s="44"/>
      <c r="AH776" s="44"/>
      <c r="AI776" s="44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44"/>
      <c r="AC777" s="44"/>
      <c r="AD777" s="44"/>
      <c r="AE777" s="44"/>
      <c r="AF777" s="44"/>
      <c r="AG777" s="44"/>
      <c r="AH777" s="44"/>
      <c r="AI777" s="44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44"/>
      <c r="AC778" s="44"/>
      <c r="AD778" s="44"/>
      <c r="AE778" s="44"/>
      <c r="AF778" s="44"/>
      <c r="AG778" s="44"/>
      <c r="AH778" s="44"/>
      <c r="AI778" s="44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44"/>
      <c r="AC779" s="44"/>
      <c r="AD779" s="44"/>
      <c r="AE779" s="44"/>
      <c r="AF779" s="44"/>
      <c r="AG779" s="44"/>
      <c r="AH779" s="44"/>
      <c r="AI779" s="44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44"/>
      <c r="AC780" s="44"/>
      <c r="AD780" s="44"/>
      <c r="AE780" s="44"/>
      <c r="AF780" s="44"/>
      <c r="AG780" s="44"/>
      <c r="AH780" s="44"/>
      <c r="AI780" s="44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44"/>
      <c r="AC781" s="44"/>
      <c r="AD781" s="44"/>
      <c r="AE781" s="44"/>
      <c r="AF781" s="44"/>
      <c r="AG781" s="44"/>
      <c r="AH781" s="44"/>
      <c r="AI781" s="44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44"/>
      <c r="AC782" s="44"/>
      <c r="AD782" s="44"/>
      <c r="AE782" s="44"/>
      <c r="AF782" s="44"/>
      <c r="AG782" s="44"/>
      <c r="AH782" s="44"/>
      <c r="AI782" s="44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44"/>
      <c r="AC783" s="44"/>
      <c r="AD783" s="44"/>
      <c r="AE783" s="44"/>
      <c r="AF783" s="44"/>
      <c r="AG783" s="44"/>
      <c r="AH783" s="44"/>
      <c r="AI783" s="44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44"/>
      <c r="AC784" s="44"/>
      <c r="AD784" s="44"/>
      <c r="AE784" s="44"/>
      <c r="AF784" s="44"/>
      <c r="AG784" s="44"/>
      <c r="AH784" s="44"/>
      <c r="AI784" s="44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44"/>
      <c r="AC785" s="44"/>
      <c r="AD785" s="44"/>
      <c r="AE785" s="44"/>
      <c r="AF785" s="44"/>
      <c r="AG785" s="44"/>
      <c r="AH785" s="44"/>
      <c r="AI785" s="44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44"/>
      <c r="AC786" s="44"/>
      <c r="AD786" s="44"/>
      <c r="AE786" s="44"/>
      <c r="AF786" s="44"/>
      <c r="AG786" s="44"/>
      <c r="AH786" s="44"/>
      <c r="AI786" s="44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44"/>
      <c r="AC787" s="44"/>
      <c r="AD787" s="44"/>
      <c r="AE787" s="44"/>
      <c r="AF787" s="44"/>
      <c r="AG787" s="44"/>
      <c r="AH787" s="44"/>
      <c r="AI787" s="44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44"/>
      <c r="AC788" s="44"/>
      <c r="AD788" s="44"/>
      <c r="AE788" s="44"/>
      <c r="AF788" s="44"/>
      <c r="AG788" s="44"/>
      <c r="AH788" s="44"/>
      <c r="AI788" s="44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44"/>
      <c r="AC789" s="44"/>
      <c r="AD789" s="44"/>
      <c r="AE789" s="44"/>
      <c r="AF789" s="44"/>
      <c r="AG789" s="44"/>
      <c r="AH789" s="44"/>
      <c r="AI789" s="44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44"/>
      <c r="AC790" s="44"/>
      <c r="AD790" s="44"/>
      <c r="AE790" s="44"/>
      <c r="AF790" s="44"/>
      <c r="AG790" s="44"/>
      <c r="AH790" s="44"/>
      <c r="AI790" s="44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44"/>
      <c r="AC791" s="44"/>
      <c r="AD791" s="44"/>
      <c r="AE791" s="44"/>
      <c r="AF791" s="44"/>
      <c r="AG791" s="44"/>
      <c r="AH791" s="44"/>
      <c r="AI791" s="44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44"/>
      <c r="AC792" s="44"/>
      <c r="AD792" s="44"/>
      <c r="AE792" s="44"/>
      <c r="AF792" s="44"/>
      <c r="AG792" s="44"/>
      <c r="AH792" s="44"/>
      <c r="AI792" s="44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44"/>
      <c r="AC793" s="44"/>
      <c r="AD793" s="44"/>
      <c r="AE793" s="44"/>
      <c r="AF793" s="44"/>
      <c r="AG793" s="44"/>
      <c r="AH793" s="44"/>
      <c r="AI793" s="44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44"/>
      <c r="AC794" s="44"/>
      <c r="AD794" s="44"/>
      <c r="AE794" s="44"/>
      <c r="AF794" s="44"/>
      <c r="AG794" s="44"/>
      <c r="AH794" s="44"/>
      <c r="AI794" s="44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44"/>
      <c r="AC795" s="44"/>
      <c r="AD795" s="44"/>
      <c r="AE795" s="44"/>
      <c r="AF795" s="44"/>
      <c r="AG795" s="44"/>
      <c r="AH795" s="44"/>
      <c r="AI795" s="44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44"/>
      <c r="AC796" s="44"/>
      <c r="AD796" s="44"/>
      <c r="AE796" s="44"/>
      <c r="AF796" s="44"/>
      <c r="AG796" s="44"/>
      <c r="AH796" s="44"/>
      <c r="AI796" s="44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44"/>
      <c r="AC797" s="44"/>
      <c r="AD797" s="44"/>
      <c r="AE797" s="44"/>
      <c r="AF797" s="44"/>
      <c r="AG797" s="44"/>
      <c r="AH797" s="44"/>
      <c r="AI797" s="44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44"/>
      <c r="AC798" s="44"/>
      <c r="AD798" s="44"/>
      <c r="AE798" s="44"/>
      <c r="AF798" s="44"/>
      <c r="AG798" s="44"/>
      <c r="AH798" s="44"/>
      <c r="AI798" s="44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44"/>
      <c r="AC799" s="44"/>
      <c r="AD799" s="44"/>
      <c r="AE799" s="44"/>
      <c r="AF799" s="44"/>
      <c r="AG799" s="44"/>
      <c r="AH799" s="44"/>
      <c r="AI799" s="44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44"/>
      <c r="AC800" s="44"/>
      <c r="AD800" s="44"/>
      <c r="AE800" s="44"/>
      <c r="AF800" s="44"/>
      <c r="AG800" s="44"/>
      <c r="AH800" s="44"/>
      <c r="AI800" s="44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44"/>
      <c r="AC801" s="44"/>
      <c r="AD801" s="44"/>
      <c r="AE801" s="44"/>
      <c r="AF801" s="44"/>
      <c r="AG801" s="44"/>
      <c r="AH801" s="44"/>
      <c r="AI801" s="44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44"/>
      <c r="AC802" s="44"/>
      <c r="AD802" s="44"/>
      <c r="AE802" s="44"/>
      <c r="AF802" s="44"/>
      <c r="AG802" s="44"/>
      <c r="AH802" s="44"/>
      <c r="AI802" s="44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44"/>
      <c r="AC803" s="44"/>
      <c r="AD803" s="44"/>
      <c r="AE803" s="44"/>
      <c r="AF803" s="44"/>
      <c r="AG803" s="44"/>
      <c r="AH803" s="44"/>
      <c r="AI803" s="44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44"/>
      <c r="AC804" s="44"/>
      <c r="AD804" s="44"/>
      <c r="AE804" s="44"/>
      <c r="AF804" s="44"/>
      <c r="AG804" s="44"/>
      <c r="AH804" s="44"/>
      <c r="AI804" s="44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44"/>
      <c r="AC805" s="44"/>
      <c r="AD805" s="44"/>
      <c r="AE805" s="44"/>
      <c r="AF805" s="44"/>
      <c r="AG805" s="44"/>
      <c r="AH805" s="44"/>
      <c r="AI805" s="44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44"/>
      <c r="AC806" s="44"/>
      <c r="AD806" s="44"/>
      <c r="AE806" s="44"/>
      <c r="AF806" s="44"/>
      <c r="AG806" s="44"/>
      <c r="AH806" s="44"/>
      <c r="AI806" s="44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44"/>
      <c r="AC807" s="44"/>
      <c r="AD807" s="44"/>
      <c r="AE807" s="44"/>
      <c r="AF807" s="44"/>
      <c r="AG807" s="44"/>
      <c r="AH807" s="44"/>
      <c r="AI807" s="44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44"/>
      <c r="AC808" s="44"/>
      <c r="AD808" s="44"/>
      <c r="AE808" s="44"/>
      <c r="AF808" s="44"/>
      <c r="AG808" s="44"/>
      <c r="AH808" s="44"/>
      <c r="AI808" s="44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44"/>
      <c r="AC809" s="44"/>
      <c r="AD809" s="44"/>
      <c r="AE809" s="44"/>
      <c r="AF809" s="44"/>
      <c r="AG809" s="44"/>
      <c r="AH809" s="44"/>
      <c r="AI809" s="44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44"/>
      <c r="AC810" s="44"/>
      <c r="AD810" s="44"/>
      <c r="AE810" s="44"/>
      <c r="AF810" s="44"/>
      <c r="AG810" s="44"/>
      <c r="AH810" s="44"/>
      <c r="AI810" s="44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44"/>
      <c r="AC811" s="44"/>
      <c r="AD811" s="44"/>
      <c r="AE811" s="44"/>
      <c r="AF811" s="44"/>
      <c r="AG811" s="44"/>
      <c r="AH811" s="44"/>
      <c r="AI811" s="44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44"/>
      <c r="AC812" s="44"/>
      <c r="AD812" s="44"/>
      <c r="AE812" s="44"/>
      <c r="AF812" s="44"/>
      <c r="AG812" s="44"/>
      <c r="AH812" s="44"/>
      <c r="AI812" s="44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44"/>
      <c r="AC813" s="44"/>
      <c r="AD813" s="44"/>
      <c r="AE813" s="44"/>
      <c r="AF813" s="44"/>
      <c r="AG813" s="44"/>
      <c r="AH813" s="44"/>
      <c r="AI813" s="44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44"/>
      <c r="AC814" s="44"/>
      <c r="AD814" s="44"/>
      <c r="AE814" s="44"/>
      <c r="AF814" s="44"/>
      <c r="AG814" s="44"/>
      <c r="AH814" s="44"/>
      <c r="AI814" s="44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44"/>
      <c r="AC815" s="44"/>
      <c r="AD815" s="44"/>
      <c r="AE815" s="44"/>
      <c r="AF815" s="44"/>
      <c r="AG815" s="44"/>
      <c r="AH815" s="44"/>
      <c r="AI815" s="44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44"/>
      <c r="AC816" s="44"/>
      <c r="AD816" s="44"/>
      <c r="AE816" s="44"/>
      <c r="AF816" s="44"/>
      <c r="AG816" s="44"/>
      <c r="AH816" s="44"/>
      <c r="AI816" s="44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44"/>
      <c r="AC817" s="44"/>
      <c r="AD817" s="44"/>
      <c r="AE817" s="44"/>
      <c r="AF817" s="44"/>
      <c r="AG817" s="44"/>
      <c r="AH817" s="44"/>
      <c r="AI817" s="44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44"/>
      <c r="AC818" s="44"/>
      <c r="AD818" s="44"/>
      <c r="AE818" s="44"/>
      <c r="AF818" s="44"/>
      <c r="AG818" s="44"/>
      <c r="AH818" s="44"/>
      <c r="AI818" s="44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44"/>
      <c r="AC819" s="44"/>
      <c r="AD819" s="44"/>
      <c r="AE819" s="44"/>
      <c r="AF819" s="44"/>
      <c r="AG819" s="44"/>
      <c r="AH819" s="44"/>
      <c r="AI819" s="44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44"/>
      <c r="AC820" s="44"/>
      <c r="AD820" s="44"/>
      <c r="AE820" s="44"/>
      <c r="AF820" s="44"/>
      <c r="AG820" s="44"/>
      <c r="AH820" s="44"/>
      <c r="AI820" s="44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44"/>
      <c r="AC821" s="44"/>
      <c r="AD821" s="44"/>
      <c r="AE821" s="44"/>
      <c r="AF821" s="44"/>
      <c r="AG821" s="44"/>
      <c r="AH821" s="44"/>
      <c r="AI821" s="44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44"/>
      <c r="AC822" s="44"/>
      <c r="AD822" s="44"/>
      <c r="AE822" s="44"/>
      <c r="AF822" s="44"/>
      <c r="AG822" s="44"/>
      <c r="AH822" s="44"/>
      <c r="AI822" s="44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44"/>
      <c r="AC823" s="44"/>
      <c r="AD823" s="44"/>
      <c r="AE823" s="44"/>
      <c r="AF823" s="44"/>
      <c r="AG823" s="44"/>
      <c r="AH823" s="44"/>
      <c r="AI823" s="44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44"/>
      <c r="AC824" s="44"/>
      <c r="AD824" s="44"/>
      <c r="AE824" s="44"/>
      <c r="AF824" s="44"/>
      <c r="AG824" s="44"/>
      <c r="AH824" s="44"/>
      <c r="AI824" s="44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44"/>
      <c r="AC825" s="44"/>
      <c r="AD825" s="44"/>
      <c r="AE825" s="44"/>
      <c r="AF825" s="44"/>
      <c r="AG825" s="44"/>
      <c r="AH825" s="44"/>
      <c r="AI825" s="44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44"/>
      <c r="AC826" s="44"/>
      <c r="AD826" s="44"/>
      <c r="AE826" s="44"/>
      <c r="AF826" s="44"/>
      <c r="AG826" s="44"/>
      <c r="AH826" s="44"/>
      <c r="AI826" s="44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44"/>
      <c r="AC827" s="44"/>
      <c r="AD827" s="44"/>
      <c r="AE827" s="44"/>
      <c r="AF827" s="44"/>
      <c r="AG827" s="44"/>
      <c r="AH827" s="44"/>
      <c r="AI827" s="44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44"/>
      <c r="AC828" s="44"/>
      <c r="AD828" s="44"/>
      <c r="AE828" s="44"/>
      <c r="AF828" s="44"/>
      <c r="AG828" s="44"/>
      <c r="AH828" s="44"/>
      <c r="AI828" s="44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44"/>
      <c r="AC829" s="44"/>
      <c r="AD829" s="44"/>
      <c r="AE829" s="44"/>
      <c r="AF829" s="44"/>
      <c r="AG829" s="44"/>
      <c r="AH829" s="44"/>
      <c r="AI829" s="44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44"/>
      <c r="AC830" s="44"/>
      <c r="AD830" s="44"/>
      <c r="AE830" s="44"/>
      <c r="AF830" s="44"/>
      <c r="AG830" s="44"/>
      <c r="AH830" s="44"/>
      <c r="AI830" s="44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44"/>
      <c r="AC831" s="44"/>
      <c r="AD831" s="44"/>
      <c r="AE831" s="44"/>
      <c r="AF831" s="44"/>
      <c r="AG831" s="44"/>
      <c r="AH831" s="44"/>
      <c r="AI831" s="44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44"/>
      <c r="AC832" s="44"/>
      <c r="AD832" s="44"/>
      <c r="AE832" s="44"/>
      <c r="AF832" s="44"/>
      <c r="AG832" s="44"/>
      <c r="AH832" s="44"/>
      <c r="AI832" s="44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44"/>
      <c r="AC833" s="44"/>
      <c r="AD833" s="44"/>
      <c r="AE833" s="44"/>
      <c r="AF833" s="44"/>
      <c r="AG833" s="44"/>
      <c r="AH833" s="44"/>
      <c r="AI833" s="44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44"/>
      <c r="AC834" s="44"/>
      <c r="AD834" s="44"/>
      <c r="AE834" s="44"/>
      <c r="AF834" s="44"/>
      <c r="AG834" s="44"/>
      <c r="AH834" s="44"/>
      <c r="AI834" s="44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44"/>
      <c r="AC835" s="44"/>
      <c r="AD835" s="44"/>
      <c r="AE835" s="44"/>
      <c r="AF835" s="44"/>
      <c r="AG835" s="44"/>
      <c r="AH835" s="44"/>
      <c r="AI835" s="44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44"/>
      <c r="AC836" s="44"/>
      <c r="AD836" s="44"/>
      <c r="AE836" s="44"/>
      <c r="AF836" s="44"/>
      <c r="AG836" s="44"/>
      <c r="AH836" s="44"/>
      <c r="AI836" s="44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44"/>
      <c r="AC837" s="44"/>
      <c r="AD837" s="44"/>
      <c r="AE837" s="44"/>
      <c r="AF837" s="44"/>
      <c r="AG837" s="44"/>
      <c r="AH837" s="44"/>
      <c r="AI837" s="44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44"/>
      <c r="AC838" s="44"/>
      <c r="AD838" s="44"/>
      <c r="AE838" s="44"/>
      <c r="AF838" s="44"/>
      <c r="AG838" s="44"/>
      <c r="AH838" s="44"/>
      <c r="AI838" s="44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44"/>
      <c r="AC839" s="44"/>
      <c r="AD839" s="44"/>
      <c r="AE839" s="44"/>
      <c r="AF839" s="44"/>
      <c r="AG839" s="44"/>
      <c r="AH839" s="44"/>
      <c r="AI839" s="44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44"/>
      <c r="AC840" s="44"/>
      <c r="AD840" s="44"/>
      <c r="AE840" s="44"/>
      <c r="AF840" s="44"/>
      <c r="AG840" s="44"/>
      <c r="AH840" s="44"/>
      <c r="AI840" s="44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44"/>
      <c r="AC841" s="44"/>
      <c r="AD841" s="44"/>
      <c r="AE841" s="44"/>
      <c r="AF841" s="44"/>
      <c r="AG841" s="44"/>
      <c r="AH841" s="44"/>
      <c r="AI841" s="44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44"/>
      <c r="AC842" s="44"/>
      <c r="AD842" s="44"/>
      <c r="AE842" s="44"/>
      <c r="AF842" s="44"/>
      <c r="AG842" s="44"/>
      <c r="AH842" s="44"/>
      <c r="AI842" s="44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44"/>
      <c r="AC843" s="44"/>
      <c r="AD843" s="44"/>
      <c r="AE843" s="44"/>
      <c r="AF843" s="44"/>
      <c r="AG843" s="44"/>
      <c r="AH843" s="44"/>
      <c r="AI843" s="44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44"/>
      <c r="AC844" s="44"/>
      <c r="AD844" s="44"/>
      <c r="AE844" s="44"/>
      <c r="AF844" s="44"/>
      <c r="AG844" s="44"/>
      <c r="AH844" s="44"/>
      <c r="AI844" s="44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44"/>
      <c r="AC845" s="44"/>
      <c r="AD845" s="44"/>
      <c r="AE845" s="44"/>
      <c r="AF845" s="44"/>
      <c r="AG845" s="44"/>
      <c r="AH845" s="44"/>
      <c r="AI845" s="44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44"/>
      <c r="AC846" s="44"/>
      <c r="AD846" s="44"/>
      <c r="AE846" s="44"/>
      <c r="AF846" s="44"/>
      <c r="AG846" s="44"/>
      <c r="AH846" s="44"/>
      <c r="AI846" s="44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44"/>
      <c r="AC847" s="44"/>
      <c r="AD847" s="44"/>
      <c r="AE847" s="44"/>
      <c r="AF847" s="44"/>
      <c r="AG847" s="44"/>
      <c r="AH847" s="44"/>
      <c r="AI847" s="44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44"/>
      <c r="AC848" s="44"/>
      <c r="AD848" s="44"/>
      <c r="AE848" s="44"/>
      <c r="AF848" s="44"/>
      <c r="AG848" s="44"/>
      <c r="AH848" s="44"/>
      <c r="AI848" s="44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44"/>
      <c r="AC849" s="44"/>
      <c r="AD849" s="44"/>
      <c r="AE849" s="44"/>
      <c r="AF849" s="44"/>
      <c r="AG849" s="44"/>
      <c r="AH849" s="44"/>
      <c r="AI849" s="44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44"/>
      <c r="AC850" s="44"/>
      <c r="AD850" s="44"/>
      <c r="AE850" s="44"/>
      <c r="AF850" s="44"/>
      <c r="AG850" s="44"/>
      <c r="AH850" s="44"/>
      <c r="AI850" s="44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44"/>
      <c r="AC851" s="44"/>
      <c r="AD851" s="44"/>
      <c r="AE851" s="44"/>
      <c r="AF851" s="44"/>
      <c r="AG851" s="44"/>
      <c r="AH851" s="44"/>
      <c r="AI851" s="44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44"/>
      <c r="AC852" s="44"/>
      <c r="AD852" s="44"/>
      <c r="AE852" s="44"/>
      <c r="AF852" s="44"/>
      <c r="AG852" s="44"/>
      <c r="AH852" s="44"/>
      <c r="AI852" s="44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44"/>
      <c r="AC853" s="44"/>
      <c r="AD853" s="44"/>
      <c r="AE853" s="44"/>
      <c r="AF853" s="44"/>
      <c r="AG853" s="44"/>
      <c r="AH853" s="44"/>
      <c r="AI853" s="44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44"/>
      <c r="AC854" s="44"/>
      <c r="AD854" s="44"/>
      <c r="AE854" s="44"/>
      <c r="AF854" s="44"/>
      <c r="AG854" s="44"/>
      <c r="AH854" s="44"/>
      <c r="AI854" s="44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44"/>
      <c r="AC855" s="44"/>
      <c r="AD855" s="44"/>
      <c r="AE855" s="44"/>
      <c r="AF855" s="44"/>
      <c r="AG855" s="44"/>
      <c r="AH855" s="44"/>
      <c r="AI855" s="44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44"/>
      <c r="AC856" s="44"/>
      <c r="AD856" s="44"/>
      <c r="AE856" s="44"/>
      <c r="AF856" s="44"/>
      <c r="AG856" s="44"/>
      <c r="AH856" s="44"/>
      <c r="AI856" s="44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44"/>
      <c r="AC857" s="44"/>
      <c r="AD857" s="44"/>
      <c r="AE857" s="44"/>
      <c r="AF857" s="44"/>
      <c r="AG857" s="44"/>
      <c r="AH857" s="44"/>
      <c r="AI857" s="44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44"/>
      <c r="AC858" s="44"/>
      <c r="AD858" s="44"/>
      <c r="AE858" s="44"/>
      <c r="AF858" s="44"/>
      <c r="AG858" s="44"/>
      <c r="AH858" s="44"/>
      <c r="AI858" s="44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44"/>
      <c r="AC859" s="44"/>
      <c r="AD859" s="44"/>
      <c r="AE859" s="44"/>
      <c r="AF859" s="44"/>
      <c r="AG859" s="44"/>
      <c r="AH859" s="44"/>
      <c r="AI859" s="44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44"/>
      <c r="AC860" s="44"/>
      <c r="AD860" s="44"/>
      <c r="AE860" s="44"/>
      <c r="AF860" s="44"/>
      <c r="AG860" s="44"/>
      <c r="AH860" s="44"/>
      <c r="AI860" s="44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44"/>
      <c r="AC861" s="44"/>
      <c r="AD861" s="44"/>
      <c r="AE861" s="44"/>
      <c r="AF861" s="44"/>
      <c r="AG861" s="44"/>
      <c r="AH861" s="44"/>
      <c r="AI861" s="44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44"/>
      <c r="AC862" s="44"/>
      <c r="AD862" s="44"/>
      <c r="AE862" s="44"/>
      <c r="AF862" s="44"/>
      <c r="AG862" s="44"/>
      <c r="AH862" s="44"/>
      <c r="AI862" s="44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44"/>
      <c r="AC863" s="44"/>
      <c r="AD863" s="44"/>
      <c r="AE863" s="44"/>
      <c r="AF863" s="44"/>
      <c r="AG863" s="44"/>
      <c r="AH863" s="44"/>
      <c r="AI863" s="44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44"/>
      <c r="AC864" s="44"/>
      <c r="AD864" s="44"/>
      <c r="AE864" s="44"/>
      <c r="AF864" s="44"/>
      <c r="AG864" s="44"/>
      <c r="AH864" s="44"/>
      <c r="AI864" s="44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44"/>
      <c r="AC865" s="44"/>
      <c r="AD865" s="44"/>
      <c r="AE865" s="44"/>
      <c r="AF865" s="44"/>
      <c r="AG865" s="44"/>
      <c r="AH865" s="44"/>
      <c r="AI865" s="44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44"/>
      <c r="AC866" s="44"/>
      <c r="AD866" s="44"/>
      <c r="AE866" s="44"/>
      <c r="AF866" s="44"/>
      <c r="AG866" s="44"/>
      <c r="AH866" s="44"/>
      <c r="AI866" s="44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44"/>
      <c r="AC867" s="44"/>
      <c r="AD867" s="44"/>
      <c r="AE867" s="44"/>
      <c r="AF867" s="44"/>
      <c r="AG867" s="44"/>
      <c r="AH867" s="44"/>
      <c r="AI867" s="44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44"/>
      <c r="AC868" s="44"/>
      <c r="AD868" s="44"/>
      <c r="AE868" s="44"/>
      <c r="AF868" s="44"/>
      <c r="AG868" s="44"/>
      <c r="AH868" s="44"/>
      <c r="AI868" s="44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44"/>
      <c r="AC869" s="44"/>
      <c r="AD869" s="44"/>
      <c r="AE869" s="44"/>
      <c r="AF869" s="44"/>
      <c r="AG869" s="44"/>
      <c r="AH869" s="44"/>
      <c r="AI869" s="44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44"/>
      <c r="AC870" s="44"/>
      <c r="AD870" s="44"/>
      <c r="AE870" s="44"/>
      <c r="AF870" s="44"/>
      <c r="AG870" s="44"/>
      <c r="AH870" s="44"/>
      <c r="AI870" s="44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44"/>
      <c r="AC871" s="44"/>
      <c r="AD871" s="44"/>
      <c r="AE871" s="44"/>
      <c r="AF871" s="44"/>
      <c r="AG871" s="44"/>
      <c r="AH871" s="44"/>
      <c r="AI871" s="44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44"/>
      <c r="AC872" s="44"/>
      <c r="AD872" s="44"/>
      <c r="AE872" s="44"/>
      <c r="AF872" s="44"/>
      <c r="AG872" s="44"/>
      <c r="AH872" s="44"/>
      <c r="AI872" s="44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44"/>
      <c r="AC873" s="44"/>
      <c r="AD873" s="44"/>
      <c r="AE873" s="44"/>
      <c r="AF873" s="44"/>
      <c r="AG873" s="44"/>
      <c r="AH873" s="44"/>
      <c r="AI873" s="44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44"/>
      <c r="AC874" s="44"/>
      <c r="AD874" s="44"/>
      <c r="AE874" s="44"/>
      <c r="AF874" s="44"/>
      <c r="AG874" s="44"/>
      <c r="AH874" s="44"/>
      <c r="AI874" s="44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44"/>
      <c r="AC875" s="44"/>
      <c r="AD875" s="44"/>
      <c r="AE875" s="44"/>
      <c r="AF875" s="44"/>
      <c r="AG875" s="44"/>
      <c r="AH875" s="44"/>
      <c r="AI875" s="44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44"/>
      <c r="AC876" s="44"/>
      <c r="AD876" s="44"/>
      <c r="AE876" s="44"/>
      <c r="AF876" s="44"/>
      <c r="AG876" s="44"/>
      <c r="AH876" s="44"/>
      <c r="AI876" s="44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44"/>
      <c r="AC877" s="44"/>
      <c r="AD877" s="44"/>
      <c r="AE877" s="44"/>
      <c r="AF877" s="44"/>
      <c r="AG877" s="44"/>
      <c r="AH877" s="44"/>
      <c r="AI877" s="44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44"/>
      <c r="AC878" s="44"/>
      <c r="AD878" s="44"/>
      <c r="AE878" s="44"/>
      <c r="AF878" s="44"/>
      <c r="AG878" s="44"/>
      <c r="AH878" s="44"/>
      <c r="AI878" s="44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44"/>
      <c r="AC879" s="44"/>
      <c r="AD879" s="44"/>
      <c r="AE879" s="44"/>
      <c r="AF879" s="44"/>
      <c r="AG879" s="44"/>
      <c r="AH879" s="44"/>
      <c r="AI879" s="44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44"/>
      <c r="AC880" s="44"/>
      <c r="AD880" s="44"/>
      <c r="AE880" s="44"/>
      <c r="AF880" s="44"/>
      <c r="AG880" s="44"/>
      <c r="AH880" s="44"/>
      <c r="AI880" s="44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44"/>
      <c r="AC881" s="44"/>
      <c r="AD881" s="44"/>
      <c r="AE881" s="44"/>
      <c r="AF881" s="44"/>
      <c r="AG881" s="44"/>
      <c r="AH881" s="44"/>
      <c r="AI881" s="44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44"/>
      <c r="AC882" s="44"/>
      <c r="AD882" s="44"/>
      <c r="AE882" s="44"/>
      <c r="AF882" s="44"/>
      <c r="AG882" s="44"/>
      <c r="AH882" s="44"/>
      <c r="AI882" s="44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44"/>
      <c r="AC883" s="44"/>
      <c r="AD883" s="44"/>
      <c r="AE883" s="44"/>
      <c r="AF883" s="44"/>
      <c r="AG883" s="44"/>
      <c r="AH883" s="44"/>
      <c r="AI883" s="44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44"/>
      <c r="AC884" s="44"/>
      <c r="AD884" s="44"/>
      <c r="AE884" s="44"/>
      <c r="AF884" s="44"/>
      <c r="AG884" s="44"/>
      <c r="AH884" s="44"/>
      <c r="AI884" s="44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44"/>
      <c r="AC885" s="44"/>
      <c r="AD885" s="44"/>
      <c r="AE885" s="44"/>
      <c r="AF885" s="44"/>
      <c r="AG885" s="44"/>
      <c r="AH885" s="44"/>
      <c r="AI885" s="44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44"/>
      <c r="AC886" s="44"/>
      <c r="AD886" s="44"/>
      <c r="AE886" s="44"/>
      <c r="AF886" s="44"/>
      <c r="AG886" s="44"/>
      <c r="AH886" s="44"/>
      <c r="AI886" s="44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44"/>
      <c r="AC887" s="44"/>
      <c r="AD887" s="44"/>
      <c r="AE887" s="44"/>
      <c r="AF887" s="44"/>
      <c r="AG887" s="44"/>
      <c r="AH887" s="44"/>
      <c r="AI887" s="44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44"/>
      <c r="AC888" s="44"/>
      <c r="AD888" s="44"/>
      <c r="AE888" s="44"/>
      <c r="AF888" s="44"/>
      <c r="AG888" s="44"/>
      <c r="AH888" s="44"/>
      <c r="AI888" s="44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44"/>
      <c r="AC889" s="44"/>
      <c r="AD889" s="44"/>
      <c r="AE889" s="44"/>
      <c r="AF889" s="44"/>
      <c r="AG889" s="44"/>
      <c r="AH889" s="44"/>
      <c r="AI889" s="44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44"/>
      <c r="AC890" s="44"/>
      <c r="AD890" s="44"/>
      <c r="AE890" s="44"/>
      <c r="AF890" s="44"/>
      <c r="AG890" s="44"/>
      <c r="AH890" s="44"/>
      <c r="AI890" s="44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44"/>
      <c r="AC891" s="44"/>
      <c r="AD891" s="44"/>
      <c r="AE891" s="44"/>
      <c r="AF891" s="44"/>
      <c r="AG891" s="44"/>
      <c r="AH891" s="44"/>
      <c r="AI891" s="44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44"/>
      <c r="AC892" s="44"/>
      <c r="AD892" s="44"/>
      <c r="AE892" s="44"/>
      <c r="AF892" s="44"/>
      <c r="AG892" s="44"/>
      <c r="AH892" s="44"/>
      <c r="AI892" s="44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44"/>
      <c r="AC893" s="44"/>
      <c r="AD893" s="44"/>
      <c r="AE893" s="44"/>
      <c r="AF893" s="44"/>
      <c r="AG893" s="44"/>
      <c r="AH893" s="44"/>
      <c r="AI893" s="44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44"/>
      <c r="AC894" s="44"/>
      <c r="AD894" s="44"/>
      <c r="AE894" s="44"/>
      <c r="AF894" s="44"/>
      <c r="AG894" s="44"/>
      <c r="AH894" s="44"/>
      <c r="AI894" s="44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44"/>
      <c r="AC895" s="44"/>
      <c r="AD895" s="44"/>
      <c r="AE895" s="44"/>
      <c r="AF895" s="44"/>
      <c r="AG895" s="44"/>
      <c r="AH895" s="44"/>
      <c r="AI895" s="44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44"/>
      <c r="AC896" s="44"/>
      <c r="AD896" s="44"/>
      <c r="AE896" s="44"/>
      <c r="AF896" s="44"/>
      <c r="AG896" s="44"/>
      <c r="AH896" s="44"/>
      <c r="AI896" s="44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44"/>
      <c r="AC897" s="44"/>
      <c r="AD897" s="44"/>
      <c r="AE897" s="44"/>
      <c r="AF897" s="44"/>
      <c r="AG897" s="44"/>
      <c r="AH897" s="44"/>
      <c r="AI897" s="44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44"/>
      <c r="AC898" s="44"/>
      <c r="AD898" s="44"/>
      <c r="AE898" s="44"/>
      <c r="AF898" s="44"/>
      <c r="AG898" s="44"/>
      <c r="AH898" s="44"/>
      <c r="AI898" s="44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44"/>
      <c r="AC899" s="44"/>
      <c r="AD899" s="44"/>
      <c r="AE899" s="44"/>
      <c r="AF899" s="44"/>
      <c r="AG899" s="44"/>
      <c r="AH899" s="44"/>
      <c r="AI899" s="44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44"/>
      <c r="AC900" s="44"/>
      <c r="AD900" s="44"/>
      <c r="AE900" s="44"/>
      <c r="AF900" s="44"/>
      <c r="AG900" s="44"/>
      <c r="AH900" s="44"/>
      <c r="AI900" s="44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44"/>
      <c r="AC901" s="44"/>
      <c r="AD901" s="44"/>
      <c r="AE901" s="44"/>
      <c r="AF901" s="44"/>
      <c r="AG901" s="44"/>
      <c r="AH901" s="44"/>
      <c r="AI901" s="44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44"/>
      <c r="AC902" s="44"/>
      <c r="AD902" s="44"/>
      <c r="AE902" s="44"/>
      <c r="AF902" s="44"/>
      <c r="AG902" s="44"/>
      <c r="AH902" s="44"/>
      <c r="AI902" s="44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44"/>
      <c r="AC903" s="44"/>
      <c r="AD903" s="44"/>
      <c r="AE903" s="44"/>
      <c r="AF903" s="44"/>
      <c r="AG903" s="44"/>
      <c r="AH903" s="44"/>
      <c r="AI903" s="44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44"/>
      <c r="AC904" s="44"/>
      <c r="AD904" s="44"/>
      <c r="AE904" s="44"/>
      <c r="AF904" s="44"/>
      <c r="AG904" s="44"/>
      <c r="AH904" s="44"/>
      <c r="AI904" s="44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44"/>
      <c r="AC905" s="44"/>
      <c r="AD905" s="44"/>
      <c r="AE905" s="44"/>
      <c r="AF905" s="44"/>
      <c r="AG905" s="44"/>
      <c r="AH905" s="44"/>
      <c r="AI905" s="44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44"/>
      <c r="AC906" s="44"/>
      <c r="AD906" s="44"/>
      <c r="AE906" s="44"/>
      <c r="AF906" s="44"/>
      <c r="AG906" s="44"/>
      <c r="AH906" s="44"/>
      <c r="AI906" s="44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44"/>
      <c r="AC907" s="44"/>
      <c r="AD907" s="44"/>
      <c r="AE907" s="44"/>
      <c r="AF907" s="44"/>
      <c r="AG907" s="44"/>
      <c r="AH907" s="44"/>
      <c r="AI907" s="44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44"/>
      <c r="AC908" s="44"/>
      <c r="AD908" s="44"/>
      <c r="AE908" s="44"/>
      <c r="AF908" s="44"/>
      <c r="AG908" s="44"/>
      <c r="AH908" s="44"/>
      <c r="AI908" s="44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44"/>
      <c r="AC909" s="44"/>
      <c r="AD909" s="44"/>
      <c r="AE909" s="44"/>
      <c r="AF909" s="44"/>
      <c r="AG909" s="44"/>
      <c r="AH909" s="44"/>
      <c r="AI909" s="44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44"/>
      <c r="AC910" s="44"/>
      <c r="AD910" s="44"/>
      <c r="AE910" s="44"/>
      <c r="AF910" s="44"/>
      <c r="AG910" s="44"/>
      <c r="AH910" s="44"/>
      <c r="AI910" s="44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44"/>
      <c r="AC911" s="44"/>
      <c r="AD911" s="44"/>
      <c r="AE911" s="44"/>
      <c r="AF911" s="44"/>
      <c r="AG911" s="44"/>
      <c r="AH911" s="44"/>
      <c r="AI911" s="44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44"/>
      <c r="AC912" s="44"/>
      <c r="AD912" s="44"/>
      <c r="AE912" s="44"/>
      <c r="AF912" s="44"/>
      <c r="AG912" s="44"/>
      <c r="AH912" s="44"/>
      <c r="AI912" s="44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44"/>
      <c r="AC913" s="44"/>
      <c r="AD913" s="44"/>
      <c r="AE913" s="44"/>
      <c r="AF913" s="44"/>
      <c r="AG913" s="44"/>
      <c r="AH913" s="44"/>
      <c r="AI913" s="44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44"/>
      <c r="AC914" s="44"/>
      <c r="AD914" s="44"/>
      <c r="AE914" s="44"/>
      <c r="AF914" s="44"/>
      <c r="AG914" s="44"/>
      <c r="AH914" s="44"/>
      <c r="AI914" s="44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44"/>
      <c r="AC915" s="44"/>
      <c r="AD915" s="44"/>
      <c r="AE915" s="44"/>
      <c r="AF915" s="44"/>
      <c r="AG915" s="44"/>
      <c r="AH915" s="44"/>
      <c r="AI915" s="44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44"/>
      <c r="AC916" s="44"/>
      <c r="AD916" s="44"/>
      <c r="AE916" s="44"/>
      <c r="AF916" s="44"/>
      <c r="AG916" s="44"/>
      <c r="AH916" s="44"/>
      <c r="AI916" s="44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44"/>
      <c r="AC917" s="44"/>
      <c r="AD917" s="44"/>
      <c r="AE917" s="44"/>
      <c r="AF917" s="44"/>
      <c r="AG917" s="44"/>
      <c r="AH917" s="44"/>
      <c r="AI917" s="44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44"/>
      <c r="AC918" s="44"/>
      <c r="AD918" s="44"/>
      <c r="AE918" s="44"/>
      <c r="AF918" s="44"/>
      <c r="AG918" s="44"/>
      <c r="AH918" s="44"/>
      <c r="AI918" s="44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44"/>
      <c r="AC919" s="44"/>
      <c r="AD919" s="44"/>
      <c r="AE919" s="44"/>
      <c r="AF919" s="44"/>
      <c r="AG919" s="44"/>
      <c r="AH919" s="44"/>
      <c r="AI919" s="44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44"/>
      <c r="AC920" s="44"/>
      <c r="AD920" s="44"/>
      <c r="AE920" s="44"/>
      <c r="AF920" s="44"/>
      <c r="AG920" s="44"/>
      <c r="AH920" s="44"/>
      <c r="AI920" s="44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44"/>
      <c r="AC921" s="44"/>
      <c r="AD921" s="44"/>
      <c r="AE921" s="44"/>
      <c r="AF921" s="44"/>
      <c r="AG921" s="44"/>
      <c r="AH921" s="44"/>
      <c r="AI921" s="44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44"/>
      <c r="AC922" s="44"/>
      <c r="AD922" s="44"/>
      <c r="AE922" s="44"/>
      <c r="AF922" s="44"/>
      <c r="AG922" s="44"/>
      <c r="AH922" s="44"/>
      <c r="AI922" s="44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44"/>
      <c r="AC923" s="44"/>
      <c r="AD923" s="44"/>
      <c r="AE923" s="44"/>
      <c r="AF923" s="44"/>
      <c r="AG923" s="44"/>
      <c r="AH923" s="44"/>
      <c r="AI923" s="44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44"/>
      <c r="AC924" s="44"/>
      <c r="AD924" s="44"/>
      <c r="AE924" s="44"/>
      <c r="AF924" s="44"/>
      <c r="AG924" s="44"/>
      <c r="AH924" s="44"/>
      <c r="AI924" s="44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44"/>
      <c r="AC925" s="44"/>
      <c r="AD925" s="44"/>
      <c r="AE925" s="44"/>
      <c r="AF925" s="44"/>
      <c r="AG925" s="44"/>
      <c r="AH925" s="44"/>
      <c r="AI925" s="44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44"/>
      <c r="AC926" s="44"/>
      <c r="AD926" s="44"/>
      <c r="AE926" s="44"/>
      <c r="AF926" s="44"/>
      <c r="AG926" s="44"/>
      <c r="AH926" s="44"/>
      <c r="AI926" s="44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44"/>
      <c r="AC927" s="44"/>
      <c r="AD927" s="44"/>
      <c r="AE927" s="44"/>
      <c r="AF927" s="44"/>
      <c r="AG927" s="44"/>
      <c r="AH927" s="44"/>
      <c r="AI927" s="44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44"/>
      <c r="AC928" s="44"/>
      <c r="AD928" s="44"/>
      <c r="AE928" s="44"/>
      <c r="AF928" s="44"/>
      <c r="AG928" s="44"/>
      <c r="AH928" s="44"/>
      <c r="AI928" s="44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44"/>
      <c r="AC929" s="44"/>
      <c r="AD929" s="44"/>
      <c r="AE929" s="44"/>
      <c r="AF929" s="44"/>
      <c r="AG929" s="44"/>
      <c r="AH929" s="44"/>
      <c r="AI929" s="44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44"/>
      <c r="AC930" s="44"/>
      <c r="AD930" s="44"/>
      <c r="AE930" s="44"/>
      <c r="AF930" s="44"/>
      <c r="AG930" s="44"/>
      <c r="AH930" s="44"/>
      <c r="AI930" s="44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44"/>
      <c r="AC931" s="44"/>
      <c r="AD931" s="44"/>
      <c r="AE931" s="44"/>
      <c r="AF931" s="44"/>
      <c r="AG931" s="44"/>
      <c r="AH931" s="44"/>
      <c r="AI931" s="44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44"/>
      <c r="AC932" s="44"/>
      <c r="AD932" s="44"/>
      <c r="AE932" s="44"/>
      <c r="AF932" s="44"/>
      <c r="AG932" s="44"/>
      <c r="AH932" s="44"/>
      <c r="AI932" s="44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44"/>
      <c r="AC933" s="44"/>
      <c r="AD933" s="44"/>
      <c r="AE933" s="44"/>
      <c r="AF933" s="44"/>
      <c r="AG933" s="44"/>
      <c r="AH933" s="44"/>
      <c r="AI933" s="44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44"/>
      <c r="AC934" s="44"/>
      <c r="AD934" s="44"/>
      <c r="AE934" s="44"/>
      <c r="AF934" s="44"/>
      <c r="AG934" s="44"/>
      <c r="AH934" s="44"/>
      <c r="AI934" s="44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44"/>
      <c r="AC935" s="44"/>
      <c r="AD935" s="44"/>
      <c r="AE935" s="44"/>
      <c r="AF935" s="44"/>
      <c r="AG935" s="44"/>
      <c r="AH935" s="44"/>
      <c r="AI935" s="44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44"/>
      <c r="AC936" s="44"/>
      <c r="AD936" s="44"/>
      <c r="AE936" s="44"/>
      <c r="AF936" s="44"/>
      <c r="AG936" s="44"/>
      <c r="AH936" s="44"/>
      <c r="AI936" s="44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44"/>
      <c r="AC937" s="44"/>
      <c r="AD937" s="44"/>
      <c r="AE937" s="44"/>
      <c r="AF937" s="44"/>
      <c r="AG937" s="44"/>
      <c r="AH937" s="44"/>
      <c r="AI937" s="44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44"/>
      <c r="AC938" s="44"/>
      <c r="AD938" s="44"/>
      <c r="AE938" s="44"/>
      <c r="AF938" s="44"/>
      <c r="AG938" s="44"/>
      <c r="AH938" s="44"/>
      <c r="AI938" s="44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44"/>
      <c r="AC939" s="44"/>
      <c r="AD939" s="44"/>
      <c r="AE939" s="44"/>
      <c r="AF939" s="44"/>
      <c r="AG939" s="44"/>
      <c r="AH939" s="44"/>
      <c r="AI939" s="44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44"/>
      <c r="AC940" s="44"/>
      <c r="AD940" s="44"/>
      <c r="AE940" s="44"/>
      <c r="AF940" s="44"/>
      <c r="AG940" s="44"/>
      <c r="AH940" s="44"/>
      <c r="AI940" s="44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44"/>
      <c r="AC941" s="44"/>
      <c r="AD941" s="44"/>
      <c r="AE941" s="44"/>
      <c r="AF941" s="44"/>
      <c r="AG941" s="44"/>
      <c r="AH941" s="44"/>
      <c r="AI941" s="44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44"/>
      <c r="AC942" s="44"/>
      <c r="AD942" s="44"/>
      <c r="AE942" s="44"/>
      <c r="AF942" s="44"/>
      <c r="AG942" s="44"/>
      <c r="AH942" s="44"/>
      <c r="AI942" s="44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44"/>
      <c r="AC943" s="44"/>
      <c r="AD943" s="44"/>
      <c r="AE943" s="44"/>
      <c r="AF943" s="44"/>
      <c r="AG943" s="44"/>
      <c r="AH943" s="44"/>
      <c r="AI943" s="44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44"/>
      <c r="AC944" s="44"/>
      <c r="AD944" s="44"/>
      <c r="AE944" s="44"/>
      <c r="AF944" s="44"/>
      <c r="AG944" s="44"/>
      <c r="AH944" s="44"/>
      <c r="AI944" s="44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44"/>
      <c r="AC945" s="44"/>
      <c r="AD945" s="44"/>
      <c r="AE945" s="44"/>
      <c r="AF945" s="44"/>
      <c r="AG945" s="44"/>
      <c r="AH945" s="44"/>
      <c r="AI945" s="44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44"/>
      <c r="AC946" s="44"/>
      <c r="AD946" s="44"/>
      <c r="AE946" s="44"/>
      <c r="AF946" s="44"/>
      <c r="AG946" s="44"/>
      <c r="AH946" s="44"/>
      <c r="AI946" s="44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44"/>
      <c r="AC947" s="44"/>
      <c r="AD947" s="44"/>
      <c r="AE947" s="44"/>
      <c r="AF947" s="44"/>
      <c r="AG947" s="44"/>
      <c r="AH947" s="44"/>
      <c r="AI947" s="44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44"/>
      <c r="AC948" s="44"/>
      <c r="AD948" s="44"/>
      <c r="AE948" s="44"/>
      <c r="AF948" s="44"/>
      <c r="AG948" s="44"/>
      <c r="AH948" s="44"/>
      <c r="AI948" s="44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44"/>
      <c r="AC949" s="44"/>
      <c r="AD949" s="44"/>
      <c r="AE949" s="44"/>
      <c r="AF949" s="44"/>
      <c r="AG949" s="44"/>
      <c r="AH949" s="44"/>
      <c r="AI949" s="44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44"/>
      <c r="AC950" s="44"/>
      <c r="AD950" s="44"/>
      <c r="AE950" s="44"/>
      <c r="AF950" s="44"/>
      <c r="AG950" s="44"/>
      <c r="AH950" s="44"/>
      <c r="AI950" s="44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44"/>
      <c r="AC951" s="44"/>
      <c r="AD951" s="44"/>
      <c r="AE951" s="44"/>
      <c r="AF951" s="44"/>
      <c r="AG951" s="44"/>
      <c r="AH951" s="44"/>
      <c r="AI951" s="44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44"/>
      <c r="AC952" s="44"/>
      <c r="AD952" s="44"/>
      <c r="AE952" s="44"/>
      <c r="AF952" s="44"/>
      <c r="AG952" s="44"/>
      <c r="AH952" s="44"/>
      <c r="AI952" s="44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44"/>
      <c r="AC953" s="44"/>
      <c r="AD953" s="44"/>
      <c r="AE953" s="44"/>
      <c r="AF953" s="44"/>
      <c r="AG953" s="44"/>
      <c r="AH953" s="44"/>
      <c r="AI953" s="44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44"/>
      <c r="AC954" s="44"/>
      <c r="AD954" s="44"/>
      <c r="AE954" s="44"/>
      <c r="AF954" s="44"/>
      <c r="AG954" s="44"/>
      <c r="AH954" s="44"/>
      <c r="AI954" s="44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44"/>
      <c r="AC955" s="44"/>
      <c r="AD955" s="44"/>
      <c r="AE955" s="44"/>
      <c r="AF955" s="44"/>
      <c r="AG955" s="44"/>
      <c r="AH955" s="44"/>
      <c r="AI955" s="44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44"/>
      <c r="AC956" s="44"/>
      <c r="AD956" s="44"/>
      <c r="AE956" s="44"/>
      <c r="AF956" s="44"/>
      <c r="AG956" s="44"/>
      <c r="AH956" s="44"/>
      <c r="AI956" s="44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44"/>
      <c r="AC957" s="44"/>
      <c r="AD957" s="44"/>
      <c r="AE957" s="44"/>
      <c r="AF957" s="44"/>
      <c r="AG957" s="44"/>
      <c r="AH957" s="44"/>
      <c r="AI957" s="44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44"/>
      <c r="AC958" s="44"/>
      <c r="AD958" s="44"/>
      <c r="AE958" s="44"/>
      <c r="AF958" s="44"/>
      <c r="AG958" s="44"/>
      <c r="AH958" s="44"/>
      <c r="AI958" s="44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44"/>
      <c r="AC959" s="44"/>
      <c r="AD959" s="44"/>
      <c r="AE959" s="44"/>
      <c r="AF959" s="44"/>
      <c r="AG959" s="44"/>
      <c r="AH959" s="44"/>
      <c r="AI959" s="44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44"/>
      <c r="AC960" s="44"/>
      <c r="AD960" s="44"/>
      <c r="AE960" s="44"/>
      <c r="AF960" s="44"/>
      <c r="AG960" s="44"/>
      <c r="AH960" s="44"/>
      <c r="AI960" s="44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44"/>
      <c r="AC961" s="44"/>
      <c r="AD961" s="44"/>
      <c r="AE961" s="44"/>
      <c r="AF961" s="44"/>
      <c r="AG961" s="44"/>
      <c r="AH961" s="44"/>
      <c r="AI961" s="44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44"/>
      <c r="AC962" s="44"/>
      <c r="AD962" s="44"/>
      <c r="AE962" s="44"/>
      <c r="AF962" s="44"/>
      <c r="AG962" s="44"/>
      <c r="AH962" s="44"/>
      <c r="AI962" s="44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44"/>
      <c r="AC963" s="44"/>
      <c r="AD963" s="44"/>
      <c r="AE963" s="44"/>
      <c r="AF963" s="44"/>
      <c r="AG963" s="44"/>
      <c r="AH963" s="44"/>
      <c r="AI963" s="44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44"/>
      <c r="AC964" s="44"/>
      <c r="AD964" s="44"/>
      <c r="AE964" s="44"/>
      <c r="AF964" s="44"/>
      <c r="AG964" s="44"/>
      <c r="AH964" s="44"/>
      <c r="AI964" s="44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44"/>
      <c r="AC965" s="44"/>
      <c r="AD965" s="44"/>
      <c r="AE965" s="44"/>
      <c r="AF965" s="44"/>
      <c r="AG965" s="44"/>
      <c r="AH965" s="44"/>
      <c r="AI965" s="44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44"/>
      <c r="AC966" s="44"/>
      <c r="AD966" s="44"/>
      <c r="AE966" s="44"/>
      <c r="AF966" s="44"/>
      <c r="AG966" s="44"/>
      <c r="AH966" s="44"/>
      <c r="AI966" s="44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44"/>
      <c r="AC967" s="44"/>
      <c r="AD967" s="44"/>
      <c r="AE967" s="44"/>
      <c r="AF967" s="44"/>
      <c r="AG967" s="44"/>
      <c r="AH967" s="44"/>
      <c r="AI967" s="44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44"/>
      <c r="AC968" s="44"/>
      <c r="AD968" s="44"/>
      <c r="AE968" s="44"/>
      <c r="AF968" s="44"/>
      <c r="AG968" s="44"/>
      <c r="AH968" s="44"/>
      <c r="AI968" s="44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44"/>
      <c r="AC969" s="44"/>
      <c r="AD969" s="44"/>
      <c r="AE969" s="44"/>
      <c r="AF969" s="44"/>
      <c r="AG969" s="44"/>
      <c r="AH969" s="44"/>
      <c r="AI969" s="44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44"/>
      <c r="AC970" s="44"/>
      <c r="AD970" s="44"/>
      <c r="AE970" s="44"/>
      <c r="AF970" s="44"/>
      <c r="AG970" s="44"/>
      <c r="AH970" s="44"/>
      <c r="AI970" s="44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44"/>
      <c r="AC971" s="44"/>
      <c r="AD971" s="44"/>
      <c r="AE971" s="44"/>
      <c r="AF971" s="44"/>
      <c r="AG971" s="44"/>
      <c r="AH971" s="44"/>
      <c r="AI971" s="44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44"/>
      <c r="AC972" s="44"/>
      <c r="AD972" s="44"/>
      <c r="AE972" s="44"/>
      <c r="AF972" s="44"/>
      <c r="AG972" s="44"/>
      <c r="AH972" s="44"/>
      <c r="AI972" s="44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44"/>
      <c r="AC973" s="44"/>
      <c r="AD973" s="44"/>
      <c r="AE973" s="44"/>
      <c r="AF973" s="44"/>
      <c r="AG973" s="44"/>
      <c r="AH973" s="44"/>
      <c r="AI973" s="44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44"/>
      <c r="AC974" s="44"/>
      <c r="AD974" s="44"/>
      <c r="AE974" s="44"/>
      <c r="AF974" s="44"/>
      <c r="AG974" s="44"/>
      <c r="AH974" s="44"/>
      <c r="AI974" s="44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44"/>
      <c r="AC975" s="44"/>
      <c r="AD975" s="44"/>
      <c r="AE975" s="44"/>
      <c r="AF975" s="44"/>
      <c r="AG975" s="44"/>
      <c r="AH975" s="44"/>
      <c r="AI975" s="44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44"/>
      <c r="AC976" s="44"/>
      <c r="AD976" s="44"/>
      <c r="AE976" s="44"/>
      <c r="AF976" s="44"/>
      <c r="AG976" s="44"/>
      <c r="AH976" s="44"/>
      <c r="AI976" s="44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44"/>
      <c r="AC977" s="44"/>
      <c r="AD977" s="44"/>
      <c r="AE977" s="44"/>
      <c r="AF977" s="44"/>
      <c r="AG977" s="44"/>
      <c r="AH977" s="44"/>
      <c r="AI977" s="44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44"/>
      <c r="AC978" s="44"/>
      <c r="AD978" s="44"/>
      <c r="AE978" s="44"/>
      <c r="AF978" s="44"/>
      <c r="AG978" s="44"/>
      <c r="AH978" s="44"/>
      <c r="AI978" s="44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44"/>
      <c r="AC979" s="44"/>
      <c r="AD979" s="44"/>
      <c r="AE979" s="44"/>
      <c r="AF979" s="44"/>
      <c r="AG979" s="44"/>
      <c r="AH979" s="44"/>
      <c r="AI979" s="44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44"/>
      <c r="AC980" s="44"/>
      <c r="AD980" s="44"/>
      <c r="AE980" s="44"/>
      <c r="AF980" s="44"/>
      <c r="AG980" s="44"/>
      <c r="AH980" s="44"/>
      <c r="AI980" s="44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44"/>
      <c r="AC981" s="44"/>
      <c r="AD981" s="44"/>
      <c r="AE981" s="44"/>
      <c r="AF981" s="44"/>
      <c r="AG981" s="44"/>
      <c r="AH981" s="44"/>
      <c r="AI981" s="44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44"/>
      <c r="AC982" s="44"/>
      <c r="AD982" s="44"/>
      <c r="AE982" s="44"/>
      <c r="AF982" s="44"/>
      <c r="AG982" s="44"/>
      <c r="AH982" s="44"/>
      <c r="AI982" s="44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44"/>
      <c r="AC983" s="44"/>
      <c r="AD983" s="44"/>
      <c r="AE983" s="44"/>
      <c r="AF983" s="44"/>
      <c r="AG983" s="44"/>
      <c r="AH983" s="44"/>
      <c r="AI983" s="44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44"/>
      <c r="AC984" s="44"/>
      <c r="AD984" s="44"/>
      <c r="AE984" s="44"/>
      <c r="AF984" s="44"/>
      <c r="AG984" s="44"/>
      <c r="AH984" s="44"/>
      <c r="AI984" s="44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44"/>
      <c r="AC985" s="44"/>
      <c r="AD985" s="44"/>
      <c r="AE985" s="44"/>
      <c r="AF985" s="44"/>
      <c r="AG985" s="44"/>
      <c r="AH985" s="44"/>
      <c r="AI985" s="44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44"/>
      <c r="AC986" s="44"/>
      <c r="AD986" s="44"/>
      <c r="AE986" s="44"/>
      <c r="AF986" s="44"/>
      <c r="AG986" s="44"/>
      <c r="AH986" s="44"/>
      <c r="AI986" s="44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44"/>
      <c r="AC987" s="44"/>
      <c r="AD987" s="44"/>
      <c r="AE987" s="44"/>
      <c r="AF987" s="44"/>
      <c r="AG987" s="44"/>
      <c r="AH987" s="44"/>
      <c r="AI987" s="44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44"/>
      <c r="AC988" s="44"/>
      <c r="AD988" s="44"/>
      <c r="AE988" s="44"/>
      <c r="AF988" s="44"/>
      <c r="AG988" s="44"/>
      <c r="AH988" s="44"/>
      <c r="AI988" s="44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44"/>
      <c r="AC989" s="44"/>
      <c r="AD989" s="44"/>
      <c r="AE989" s="44"/>
      <c r="AF989" s="44"/>
      <c r="AG989" s="44"/>
      <c r="AH989" s="44"/>
      <c r="AI989" s="44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44"/>
      <c r="AC990" s="44"/>
      <c r="AD990" s="44"/>
      <c r="AE990" s="44"/>
      <c r="AF990" s="44"/>
      <c r="AG990" s="44"/>
      <c r="AH990" s="44"/>
      <c r="AI990" s="44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44"/>
      <c r="AC991" s="44"/>
      <c r="AD991" s="44"/>
      <c r="AE991" s="44"/>
      <c r="AF991" s="44"/>
      <c r="AG991" s="44"/>
      <c r="AH991" s="44"/>
      <c r="AI991" s="44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44"/>
      <c r="AC992" s="44"/>
      <c r="AD992" s="44"/>
      <c r="AE992" s="44"/>
      <c r="AF992" s="44"/>
      <c r="AG992" s="44"/>
      <c r="AH992" s="44"/>
      <c r="AI992" s="44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44"/>
      <c r="AC993" s="44"/>
      <c r="AD993" s="44"/>
      <c r="AE993" s="44"/>
      <c r="AF993" s="44"/>
      <c r="AG993" s="44"/>
      <c r="AH993" s="44"/>
      <c r="AI993" s="44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44"/>
      <c r="AC994" s="44"/>
      <c r="AD994" s="44"/>
      <c r="AE994" s="44"/>
      <c r="AF994" s="44"/>
      <c r="AG994" s="44"/>
      <c r="AH994" s="44"/>
      <c r="AI994" s="44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44"/>
      <c r="AC995" s="44"/>
      <c r="AD995" s="44"/>
      <c r="AE995" s="44"/>
      <c r="AF995" s="44"/>
      <c r="AG995" s="44"/>
      <c r="AH995" s="44"/>
      <c r="AI995" s="44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44"/>
      <c r="AC996" s="44"/>
      <c r="AD996" s="44"/>
      <c r="AE996" s="44"/>
      <c r="AF996" s="44"/>
      <c r="AG996" s="44"/>
      <c r="AH996" s="44"/>
      <c r="AI996" s="44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44"/>
      <c r="AC997" s="44"/>
      <c r="AD997" s="44"/>
      <c r="AE997" s="44"/>
      <c r="AF997" s="44"/>
      <c r="AG997" s="44"/>
      <c r="AH997" s="44"/>
      <c r="AI997" s="44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44"/>
      <c r="AC998" s="44"/>
      <c r="AD998" s="44"/>
      <c r="AE998" s="44"/>
      <c r="AF998" s="44"/>
      <c r="AG998" s="44"/>
      <c r="AH998" s="44"/>
      <c r="AI998" s="44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44"/>
      <c r="AC999" s="44"/>
      <c r="AD999" s="44"/>
      <c r="AE999" s="44"/>
      <c r="AF999" s="44"/>
      <c r="AG999" s="44"/>
      <c r="AH999" s="44"/>
      <c r="AI999" s="44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44"/>
      <c r="AC1000" s="44"/>
      <c r="AD1000" s="44"/>
      <c r="AE1000" s="44"/>
      <c r="AF1000" s="44"/>
      <c r="AG1000" s="44"/>
      <c r="AH1000" s="44"/>
      <c r="AI1000" s="44"/>
    </row>
    <row r="1001" ht="15.75" customHeight="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44"/>
      <c r="AC1001" s="44"/>
      <c r="AD1001" s="44"/>
      <c r="AE1001" s="44"/>
      <c r="AF1001" s="44"/>
      <c r="AG1001" s="44"/>
      <c r="AH1001" s="44"/>
      <c r="AI1001" s="44"/>
    </row>
    <row r="1002" ht="15.75" customHeight="1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44"/>
      <c r="AC1002" s="44"/>
      <c r="AD1002" s="44"/>
      <c r="AE1002" s="44"/>
      <c r="AF1002" s="44"/>
      <c r="AG1002" s="44"/>
      <c r="AH1002" s="44"/>
      <c r="AI1002" s="44"/>
    </row>
    <row r="1003" ht="15.75" customHeight="1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44"/>
      <c r="AC1003" s="44"/>
      <c r="AD1003" s="44"/>
      <c r="AE1003" s="44"/>
      <c r="AF1003" s="44"/>
      <c r="AG1003" s="44"/>
      <c r="AH1003" s="44"/>
      <c r="AI1003" s="44"/>
    </row>
    <row r="1004" ht="15.75" customHeight="1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44"/>
      <c r="AC1004" s="44"/>
      <c r="AD1004" s="44"/>
      <c r="AE1004" s="44"/>
      <c r="AF1004" s="44"/>
      <c r="AG1004" s="44"/>
      <c r="AH1004" s="44"/>
      <c r="AI1004" s="44"/>
    </row>
    <row r="1005" ht="15.75" customHeight="1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44"/>
      <c r="AC1005" s="44"/>
      <c r="AD1005" s="44"/>
      <c r="AE1005" s="44"/>
      <c r="AF1005" s="44"/>
      <c r="AG1005" s="44"/>
      <c r="AH1005" s="44"/>
      <c r="AI1005" s="44"/>
    </row>
    <row r="1006" ht="15.75" customHeight="1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44"/>
      <c r="AC1006" s="44"/>
      <c r="AD1006" s="44"/>
      <c r="AE1006" s="44"/>
      <c r="AF1006" s="44"/>
      <c r="AG1006" s="44"/>
      <c r="AH1006" s="44"/>
      <c r="AI1006" s="44"/>
    </row>
    <row r="1007" ht="15.75" customHeight="1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44"/>
      <c r="AC1007" s="44"/>
      <c r="AD1007" s="44"/>
      <c r="AE1007" s="44"/>
      <c r="AF1007" s="44"/>
      <c r="AG1007" s="44"/>
      <c r="AH1007" s="44"/>
      <c r="AI1007" s="44"/>
    </row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22.44"/>
    <col customWidth="1" min="2" max="5" width="10.78"/>
    <col customWidth="1" min="6" max="6" width="9.11"/>
    <col customWidth="1" min="7" max="7" width="16.67"/>
    <col customWidth="1" min="8" max="19" width="10.78"/>
    <col customWidth="1" min="20" max="20" width="11.33"/>
    <col customWidth="1" min="21" max="21" width="11.44"/>
    <col customWidth="1" min="22" max="22" width="11.0"/>
    <col customWidth="1" min="23" max="23" width="17.11"/>
    <col customWidth="1" min="24" max="25" width="11.0"/>
    <col customWidth="1" min="26" max="26" width="11.67"/>
    <col customWidth="1" min="27" max="35" width="10.78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4"/>
      <c r="AC1" s="5"/>
      <c r="AD1" s="5"/>
      <c r="AE1" s="5"/>
      <c r="AF1" s="5"/>
      <c r="AG1" s="5"/>
      <c r="AH1" s="5"/>
      <c r="AI1" s="5"/>
    </row>
    <row r="2" ht="15.75" customHeigh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42" t="s">
        <v>25</v>
      </c>
      <c r="AA2" s="6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</row>
    <row r="3" ht="15.75" customHeight="1">
      <c r="A3" s="72" t="s">
        <v>35</v>
      </c>
      <c r="B3" s="46">
        <f>COUNTIF('POST Game Stats'!A:A, A3)</f>
        <v>1</v>
      </c>
      <c r="C3" s="73">
        <f t="shared" ref="C3:C21" si="1">D3+M3+O3+P3+Q3</f>
        <v>2</v>
      </c>
      <c r="D3" s="46">
        <f>sumif('POST Game Stats'!$A:$A, $A3, 'POST Game Stats'!B:B)</f>
        <v>2</v>
      </c>
      <c r="E3" s="46">
        <f>sumif('POST Game Stats'!$A:$A, $A3, 'POST Game Stats'!C:C)</f>
        <v>0</v>
      </c>
      <c r="F3" s="46">
        <f>sumif('POST Game Stats'!$A:$A, $A3, 'POST Game Stats'!D:D)</f>
        <v>0</v>
      </c>
      <c r="G3" s="46">
        <f>sumif('POST Game Stats'!$A:$A, $A3, 'POST Game Stats'!E:E)</f>
        <v>0</v>
      </c>
      <c r="H3" s="73">
        <f t="shared" ref="H3:H22" si="2">F3-(I3+J3+K3)</f>
        <v>0</v>
      </c>
      <c r="I3" s="73">
        <f>sumif('POST Game Stats'!$A:$A, $A3, 'POST Game Stats'!G:G)</f>
        <v>0</v>
      </c>
      <c r="J3" s="73">
        <f>sumif('POST Game Stats'!$A:$A, $A3, 'POST Game Stats'!H:H)</f>
        <v>0</v>
      </c>
      <c r="K3" s="73">
        <f>sumif('POST Game Stats'!$A:$A, $A3, 'POST Game Stats'!I:I)</f>
        <v>0</v>
      </c>
      <c r="L3" s="46">
        <f>sumif('POST Game Stats'!$A:$A, $A3, 'POST Game Stats'!Q:Q)</f>
        <v>0</v>
      </c>
      <c r="M3" s="46">
        <f>sumif('POST Game Stats'!$A:$A, $A3, 'POST Game Stats'!J:J)</f>
        <v>0</v>
      </c>
      <c r="N3" s="46">
        <f>sumif('POST Game Stats'!$A:$A, $A3, 'POST Game Stats'!K:K)</f>
        <v>0</v>
      </c>
      <c r="O3" s="46">
        <f>sumif('POST Game Stats'!$A:$A, $A3, 'POST Game Stats'!N:N)</f>
        <v>0</v>
      </c>
      <c r="P3" s="73">
        <f>sumif('POST Game Stats'!$A:$A, $A3, 'POST Game Stats'!L:L)</f>
        <v>0</v>
      </c>
      <c r="Q3" s="73">
        <f>sumif('POST Game Stats'!$A:$A, $A3, 'POST Game Stats'!M:M)</f>
        <v>0</v>
      </c>
      <c r="R3" s="64">
        <f t="shared" ref="R3:R22" si="3">(H3+(2*I3)+(3*J3)+(4*K3))</f>
        <v>0</v>
      </c>
      <c r="S3" s="74">
        <f t="shared" ref="S3:S21" si="4">iferror(if(C3=0,"-", F3/D3), 0)</f>
        <v>0</v>
      </c>
      <c r="T3" s="74">
        <f t="shared" ref="T3:T21" si="5">if(C3=0, "-", (F3+M3+O3)/(D3+M3+O3+P3))</f>
        <v>0</v>
      </c>
      <c r="U3" s="75">
        <f t="shared" ref="U3:U21" si="6">iferror(if(C3=0, "-", R3/D3), 0)</f>
        <v>0</v>
      </c>
      <c r="V3" s="75">
        <f t="shared" ref="V3:V21" si="7">if(T3="-", "-", T3+U3)</f>
        <v>0</v>
      </c>
      <c r="W3" s="75">
        <f t="shared" ref="W3:W21" si="8">if(D3=0,"-", ((F3+M3)*R3)/(D3+M3))</f>
        <v>0</v>
      </c>
      <c r="X3" s="47">
        <f t="shared" ref="X3:X21" si="9">if(C3=0, "-", M3/C3)</f>
        <v>0</v>
      </c>
      <c r="Y3" s="76">
        <f t="shared" ref="Y3:Y21" si="10">if(C3=0, "-", N3/C3)</f>
        <v>0</v>
      </c>
      <c r="Z3" s="77" t="str">
        <f t="shared" ref="Z3:Z22" si="11">ifs(Y3="-", "-", Y3=0, "0", Y3&lt;&gt;0, M3/N3)</f>
        <v>0</v>
      </c>
      <c r="AA3" s="64" t="str">
        <f t="shared" ref="AA3:AA22" si="12">IF(K3=0, "-", D3/K3)</f>
        <v>-</v>
      </c>
      <c r="AB3" s="75">
        <f t="shared" ref="AB3:AB21" si="13">if(C3=0, "-", ((0.69*M3)+(0.72*O3)+(0.88*H3)+(1.24*I3)+(1.57*J3)+(2*K3))/(D3+M3+O3+P3))</f>
        <v>0</v>
      </c>
      <c r="AC3" s="78">
        <f>if(D3=0, 0, sumif('POST Game Stats'!AD:AD, A3, 'POST Game Stats'!AC:AC))</f>
        <v>0</v>
      </c>
      <c r="AD3" s="79">
        <v>0.0</v>
      </c>
      <c r="AE3" s="80" t="str">
        <f t="shared" ref="AE3:AE22" si="14">if(L3=0, "-", L3/(L3+AD3))</f>
        <v>-</v>
      </c>
      <c r="AF3" s="79">
        <v>0.0</v>
      </c>
      <c r="AG3" s="81">
        <f t="shared" ref="AG3:AG22" si="15">iferror((F3-K3)/(D3-K3-N3+P3), "-")</f>
        <v>0</v>
      </c>
      <c r="AH3" s="81">
        <f t="shared" ref="AH3:AH22" si="16">iferror((R3-F3)/D3, "-")</f>
        <v>0</v>
      </c>
      <c r="AI3" s="81" t="str">
        <f t="shared" ref="AI3:AI22" si="17">iferror(2*(K3*L3)/(K3+L3), "-")</f>
        <v>-</v>
      </c>
    </row>
    <row r="4" ht="15.75" customHeight="1">
      <c r="A4" s="72" t="s">
        <v>36</v>
      </c>
      <c r="B4" s="46">
        <f>COUNTIF('POST Game Stats'!A:A, A4)</f>
        <v>1</v>
      </c>
      <c r="C4" s="73">
        <f t="shared" si="1"/>
        <v>2</v>
      </c>
      <c r="D4" s="46">
        <f>sumif('POST Game Stats'!$A:$A, $A4, 'POST Game Stats'!B:B)</f>
        <v>1</v>
      </c>
      <c r="E4" s="46">
        <f>sumif('POST Game Stats'!$A:$A, $A4, 'POST Game Stats'!C:C)</f>
        <v>2</v>
      </c>
      <c r="F4" s="46">
        <f>sumif('POST Game Stats'!$A:$A, $A4, 'POST Game Stats'!D:D)</f>
        <v>0</v>
      </c>
      <c r="G4" s="46">
        <f>sumif('POST Game Stats'!$A:$A, $A4, 'POST Game Stats'!E:E)</f>
        <v>0</v>
      </c>
      <c r="H4" s="73">
        <f t="shared" si="2"/>
        <v>0</v>
      </c>
      <c r="I4" s="73">
        <f>sumif('POST Game Stats'!$A:$A, $A4, 'POST Game Stats'!G:G)</f>
        <v>0</v>
      </c>
      <c r="J4" s="73">
        <f>sumif('POST Game Stats'!$A:$A, $A4, 'POST Game Stats'!H:H)</f>
        <v>0</v>
      </c>
      <c r="K4" s="73">
        <f>sumif('POST Game Stats'!$A:$A, $A4, 'POST Game Stats'!I:I)</f>
        <v>0</v>
      </c>
      <c r="L4" s="46">
        <f>sumif('POST Game Stats'!$A:$A, $A4, 'POST Game Stats'!Q:Q)</f>
        <v>0</v>
      </c>
      <c r="M4" s="46">
        <f>sumif('POST Game Stats'!$A:$A, $A4, 'POST Game Stats'!J:J)</f>
        <v>1</v>
      </c>
      <c r="N4" s="46">
        <f>sumif('POST Game Stats'!$A:$A, $A4, 'POST Game Stats'!K:K)</f>
        <v>0</v>
      </c>
      <c r="O4" s="46">
        <f>sumif('POST Game Stats'!$A:$A, $A4, 'POST Game Stats'!N:N)</f>
        <v>0</v>
      </c>
      <c r="P4" s="73">
        <f>sumif('POST Game Stats'!$A:$A, $A4, 'POST Game Stats'!L:L)</f>
        <v>0</v>
      </c>
      <c r="Q4" s="73">
        <f>sumif('POST Game Stats'!$A:$A, $A4, 'POST Game Stats'!M:M)</f>
        <v>0</v>
      </c>
      <c r="R4" s="64">
        <f t="shared" si="3"/>
        <v>0</v>
      </c>
      <c r="S4" s="74">
        <f t="shared" si="4"/>
        <v>0</v>
      </c>
      <c r="T4" s="74">
        <f t="shared" si="5"/>
        <v>0.5</v>
      </c>
      <c r="U4" s="75">
        <f t="shared" si="6"/>
        <v>0</v>
      </c>
      <c r="V4" s="75">
        <f t="shared" si="7"/>
        <v>0.5</v>
      </c>
      <c r="W4" s="75">
        <f t="shared" si="8"/>
        <v>0</v>
      </c>
      <c r="X4" s="47">
        <f t="shared" si="9"/>
        <v>0.5</v>
      </c>
      <c r="Y4" s="76">
        <f t="shared" si="10"/>
        <v>0</v>
      </c>
      <c r="Z4" s="77" t="str">
        <f t="shared" si="11"/>
        <v>0</v>
      </c>
      <c r="AA4" s="64" t="str">
        <f t="shared" si="12"/>
        <v>-</v>
      </c>
      <c r="AB4" s="75">
        <f t="shared" si="13"/>
        <v>0.345</v>
      </c>
      <c r="AC4" s="78">
        <f>if(D4=0, 0, sumif('POST Game Stats'!AD:AD, A4, 'POST Game Stats'!AC:AC))</f>
        <v>0</v>
      </c>
      <c r="AD4" s="79">
        <v>0.0</v>
      </c>
      <c r="AE4" s="80" t="str">
        <f t="shared" si="14"/>
        <v>-</v>
      </c>
      <c r="AF4" s="79">
        <v>0.0</v>
      </c>
      <c r="AG4" s="81">
        <f t="shared" si="15"/>
        <v>0</v>
      </c>
      <c r="AH4" s="81">
        <f t="shared" si="16"/>
        <v>0</v>
      </c>
      <c r="AI4" s="81" t="str">
        <f t="shared" si="17"/>
        <v>-</v>
      </c>
    </row>
    <row r="5" ht="15.75" customHeight="1">
      <c r="A5" s="72" t="s">
        <v>37</v>
      </c>
      <c r="B5" s="46">
        <f>COUNTIF('POST Game Stats'!A:A, A5)</f>
        <v>1</v>
      </c>
      <c r="C5" s="73">
        <f t="shared" si="1"/>
        <v>2</v>
      </c>
      <c r="D5" s="46">
        <f>sumif('POST Game Stats'!$A:$A, $A5, 'POST Game Stats'!B:B)</f>
        <v>2</v>
      </c>
      <c r="E5" s="46">
        <f>sumif('POST Game Stats'!$A:$A, $A5, 'POST Game Stats'!C:C)</f>
        <v>0</v>
      </c>
      <c r="F5" s="46">
        <f>sumif('POST Game Stats'!$A:$A, $A5, 'POST Game Stats'!D:D)</f>
        <v>1</v>
      </c>
      <c r="G5" s="46">
        <f>sumif('POST Game Stats'!$A:$A, $A5, 'POST Game Stats'!E:E)</f>
        <v>1</v>
      </c>
      <c r="H5" s="73">
        <f t="shared" si="2"/>
        <v>1</v>
      </c>
      <c r="I5" s="73">
        <f>sumif('POST Game Stats'!$A:$A, $A5, 'POST Game Stats'!G:G)</f>
        <v>0</v>
      </c>
      <c r="J5" s="73">
        <f>sumif('POST Game Stats'!$A:$A, $A5, 'POST Game Stats'!H:H)</f>
        <v>0</v>
      </c>
      <c r="K5" s="73">
        <f>sumif('POST Game Stats'!$A:$A, $A5, 'POST Game Stats'!I:I)</f>
        <v>0</v>
      </c>
      <c r="L5" s="46">
        <f>sumif('POST Game Stats'!$A:$A, $A5, 'POST Game Stats'!Q:Q)</f>
        <v>0</v>
      </c>
      <c r="M5" s="46">
        <f>sumif('POST Game Stats'!$A:$A, $A5, 'POST Game Stats'!J:J)</f>
        <v>0</v>
      </c>
      <c r="N5" s="46">
        <f>sumif('POST Game Stats'!$A:$A, $A5, 'POST Game Stats'!K:K)</f>
        <v>0</v>
      </c>
      <c r="O5" s="46">
        <f>sumif('POST Game Stats'!$A:$A, $A5, 'POST Game Stats'!N:N)</f>
        <v>0</v>
      </c>
      <c r="P5" s="73">
        <f>sumif('POST Game Stats'!$A:$A, $A5, 'POST Game Stats'!L:L)</f>
        <v>0</v>
      </c>
      <c r="Q5" s="73">
        <f>sumif('POST Game Stats'!$A:$A, $A5, 'POST Game Stats'!M:M)</f>
        <v>0</v>
      </c>
      <c r="R5" s="64">
        <f t="shared" si="3"/>
        <v>1</v>
      </c>
      <c r="S5" s="74">
        <f t="shared" si="4"/>
        <v>0.5</v>
      </c>
      <c r="T5" s="74">
        <f t="shared" si="5"/>
        <v>0.5</v>
      </c>
      <c r="U5" s="75">
        <f t="shared" si="6"/>
        <v>0.5</v>
      </c>
      <c r="V5" s="75">
        <f t="shared" si="7"/>
        <v>1</v>
      </c>
      <c r="W5" s="75">
        <f t="shared" si="8"/>
        <v>0.5</v>
      </c>
      <c r="X5" s="47">
        <f t="shared" si="9"/>
        <v>0</v>
      </c>
      <c r="Y5" s="76">
        <f t="shared" si="10"/>
        <v>0</v>
      </c>
      <c r="Z5" s="77" t="str">
        <f t="shared" si="11"/>
        <v>0</v>
      </c>
      <c r="AA5" s="64" t="str">
        <f t="shared" si="12"/>
        <v>-</v>
      </c>
      <c r="AB5" s="75">
        <f t="shared" si="13"/>
        <v>0.44</v>
      </c>
      <c r="AC5" s="78">
        <f>if(D5=0, 0, sumif('POST Game Stats'!AD:AD, A5, 'POST Game Stats'!AC:AC))</f>
        <v>1</v>
      </c>
      <c r="AD5" s="79">
        <v>0.0</v>
      </c>
      <c r="AE5" s="80" t="str">
        <f t="shared" si="14"/>
        <v>-</v>
      </c>
      <c r="AF5" s="79">
        <v>0.0</v>
      </c>
      <c r="AG5" s="81">
        <f t="shared" si="15"/>
        <v>0.5</v>
      </c>
      <c r="AH5" s="81">
        <f t="shared" si="16"/>
        <v>0</v>
      </c>
      <c r="AI5" s="81" t="str">
        <f t="shared" si="17"/>
        <v>-</v>
      </c>
    </row>
    <row r="6" ht="15.75" customHeight="1">
      <c r="A6" s="72" t="s">
        <v>38</v>
      </c>
      <c r="B6" s="46">
        <f>COUNTIF('POST Game Stats'!A:A, A6)</f>
        <v>4</v>
      </c>
      <c r="C6" s="73">
        <f t="shared" si="1"/>
        <v>12</v>
      </c>
      <c r="D6" s="46">
        <f>sumif('POST Game Stats'!$A:$A, $A6, 'POST Game Stats'!B:B)</f>
        <v>11</v>
      </c>
      <c r="E6" s="46">
        <f>sumif('POST Game Stats'!$A:$A, $A6, 'POST Game Stats'!C:C)</f>
        <v>3</v>
      </c>
      <c r="F6" s="46">
        <f>sumif('POST Game Stats'!$A:$A, $A6, 'POST Game Stats'!D:D)</f>
        <v>6</v>
      </c>
      <c r="G6" s="46">
        <f>sumif('POST Game Stats'!$A:$A, $A6, 'POST Game Stats'!E:E)</f>
        <v>5</v>
      </c>
      <c r="H6" s="73">
        <f t="shared" si="2"/>
        <v>3</v>
      </c>
      <c r="I6" s="73">
        <f>sumif('POST Game Stats'!$A:$A, $A6, 'POST Game Stats'!G:G)</f>
        <v>2</v>
      </c>
      <c r="J6" s="73">
        <f>sumif('POST Game Stats'!$A:$A, $A6, 'POST Game Stats'!H:H)</f>
        <v>1</v>
      </c>
      <c r="K6" s="73">
        <f>sumif('POST Game Stats'!$A:$A, $A6, 'POST Game Stats'!I:I)</f>
        <v>0</v>
      </c>
      <c r="L6" s="46">
        <f>sumif('POST Game Stats'!$A:$A, $A6, 'POST Game Stats'!Q:Q)</f>
        <v>3</v>
      </c>
      <c r="M6" s="46">
        <f>sumif('POST Game Stats'!$A:$A, $A6, 'POST Game Stats'!J:J)</f>
        <v>1</v>
      </c>
      <c r="N6" s="46">
        <f>sumif('POST Game Stats'!$A:$A, $A6, 'POST Game Stats'!K:K)</f>
        <v>2</v>
      </c>
      <c r="O6" s="46">
        <f>sumif('POST Game Stats'!$A:$A, $A6, 'POST Game Stats'!N:N)</f>
        <v>0</v>
      </c>
      <c r="P6" s="73">
        <f>sumif('POST Game Stats'!$A:$A, $A6, 'POST Game Stats'!L:L)</f>
        <v>0</v>
      </c>
      <c r="Q6" s="73">
        <f>sumif('POST Game Stats'!$A:$A, $A6, 'POST Game Stats'!M:M)</f>
        <v>0</v>
      </c>
      <c r="R6" s="64">
        <f t="shared" si="3"/>
        <v>10</v>
      </c>
      <c r="S6" s="74">
        <f t="shared" si="4"/>
        <v>0.5454545455</v>
      </c>
      <c r="T6" s="74">
        <f t="shared" si="5"/>
        <v>0.5833333333</v>
      </c>
      <c r="U6" s="75">
        <f t="shared" si="6"/>
        <v>0.9090909091</v>
      </c>
      <c r="V6" s="75">
        <f t="shared" si="7"/>
        <v>1.492424242</v>
      </c>
      <c r="W6" s="75">
        <f t="shared" si="8"/>
        <v>5.833333333</v>
      </c>
      <c r="X6" s="47">
        <f t="shared" si="9"/>
        <v>0.08333333333</v>
      </c>
      <c r="Y6" s="76">
        <f t="shared" si="10"/>
        <v>0.1666666667</v>
      </c>
      <c r="Z6" s="77">
        <f t="shared" si="11"/>
        <v>0.5</v>
      </c>
      <c r="AA6" s="64" t="str">
        <f t="shared" si="12"/>
        <v>-</v>
      </c>
      <c r="AB6" s="75">
        <f t="shared" si="13"/>
        <v>0.615</v>
      </c>
      <c r="AC6" s="78">
        <f>if(D6=0, 0, sumif('POST Game Stats'!AD:AD, A6, 'POST Game Stats'!AC:AC))</f>
        <v>0</v>
      </c>
      <c r="AD6" s="79">
        <v>0.0</v>
      </c>
      <c r="AE6" s="80">
        <f t="shared" si="14"/>
        <v>1</v>
      </c>
      <c r="AF6" s="79">
        <v>0.0</v>
      </c>
      <c r="AG6" s="81">
        <f t="shared" si="15"/>
        <v>0.6666666667</v>
      </c>
      <c r="AH6" s="81">
        <f t="shared" si="16"/>
        <v>0.3636363636</v>
      </c>
      <c r="AI6" s="81">
        <f t="shared" si="17"/>
        <v>0</v>
      </c>
    </row>
    <row r="7" ht="15.75" customHeight="1">
      <c r="A7" s="72" t="s">
        <v>39</v>
      </c>
      <c r="B7" s="46">
        <f>COUNTIF('POST Game Stats'!A:A, A7)</f>
        <v>4</v>
      </c>
      <c r="C7" s="73">
        <f t="shared" si="1"/>
        <v>12</v>
      </c>
      <c r="D7" s="46">
        <f>sumif('POST Game Stats'!$A:$A, $A7, 'POST Game Stats'!B:B)</f>
        <v>10</v>
      </c>
      <c r="E7" s="46">
        <f>sumif('POST Game Stats'!$A:$A, $A7, 'POST Game Stats'!C:C)</f>
        <v>4</v>
      </c>
      <c r="F7" s="46">
        <f>sumif('POST Game Stats'!$A:$A, $A7, 'POST Game Stats'!D:D)</f>
        <v>3</v>
      </c>
      <c r="G7" s="46">
        <f>sumif('POST Game Stats'!$A:$A, $A7, 'POST Game Stats'!E:E)</f>
        <v>1</v>
      </c>
      <c r="H7" s="73">
        <f t="shared" si="2"/>
        <v>3</v>
      </c>
      <c r="I7" s="73">
        <f>sumif('POST Game Stats'!$A:$A, $A7, 'POST Game Stats'!G:G)</f>
        <v>0</v>
      </c>
      <c r="J7" s="73">
        <f>sumif('POST Game Stats'!$A:$A, $A7, 'POST Game Stats'!H:H)</f>
        <v>0</v>
      </c>
      <c r="K7" s="73">
        <f>sumif('POST Game Stats'!$A:$A, $A7, 'POST Game Stats'!I:I)</f>
        <v>0</v>
      </c>
      <c r="L7" s="46">
        <f>sumif('POST Game Stats'!$A:$A, $A7, 'POST Game Stats'!Q:Q)</f>
        <v>1</v>
      </c>
      <c r="M7" s="46">
        <f>sumif('POST Game Stats'!$A:$A, $A7, 'POST Game Stats'!J:J)</f>
        <v>1</v>
      </c>
      <c r="N7" s="46">
        <f>sumif('POST Game Stats'!$A:$A, $A7, 'POST Game Stats'!K:K)</f>
        <v>1</v>
      </c>
      <c r="O7" s="46">
        <f>sumif('POST Game Stats'!$A:$A, $A7, 'POST Game Stats'!N:N)</f>
        <v>0</v>
      </c>
      <c r="P7" s="73">
        <f>sumif('POST Game Stats'!$A:$A, $A7, 'POST Game Stats'!L:L)</f>
        <v>1</v>
      </c>
      <c r="Q7" s="73">
        <f>sumif('POST Game Stats'!$A:$A, $A7, 'POST Game Stats'!M:M)</f>
        <v>0</v>
      </c>
      <c r="R7" s="64">
        <f t="shared" si="3"/>
        <v>3</v>
      </c>
      <c r="S7" s="74">
        <f t="shared" si="4"/>
        <v>0.3</v>
      </c>
      <c r="T7" s="74">
        <f t="shared" si="5"/>
        <v>0.3333333333</v>
      </c>
      <c r="U7" s="75">
        <f t="shared" si="6"/>
        <v>0.3</v>
      </c>
      <c r="V7" s="75">
        <f t="shared" si="7"/>
        <v>0.6333333333</v>
      </c>
      <c r="W7" s="75">
        <f t="shared" si="8"/>
        <v>1.090909091</v>
      </c>
      <c r="X7" s="47">
        <f t="shared" si="9"/>
        <v>0.08333333333</v>
      </c>
      <c r="Y7" s="76">
        <f t="shared" si="10"/>
        <v>0.08333333333</v>
      </c>
      <c r="Z7" s="77">
        <f t="shared" si="11"/>
        <v>1</v>
      </c>
      <c r="AA7" s="64" t="str">
        <f t="shared" si="12"/>
        <v>-</v>
      </c>
      <c r="AB7" s="75">
        <f t="shared" si="13"/>
        <v>0.2775</v>
      </c>
      <c r="AC7" s="78">
        <f>if(D7=0, 0, sumif('POST Game Stats'!AD:AD, A7, 'POST Game Stats'!AC:AC))</f>
        <v>4</v>
      </c>
      <c r="AD7" s="79">
        <v>0.0</v>
      </c>
      <c r="AE7" s="80">
        <f t="shared" si="14"/>
        <v>1</v>
      </c>
      <c r="AF7" s="79">
        <v>0.0</v>
      </c>
      <c r="AG7" s="81">
        <f t="shared" si="15"/>
        <v>0.3</v>
      </c>
      <c r="AH7" s="81">
        <f t="shared" si="16"/>
        <v>0</v>
      </c>
      <c r="AI7" s="81">
        <f t="shared" si="17"/>
        <v>0</v>
      </c>
    </row>
    <row r="8" ht="15.75" customHeight="1">
      <c r="A8" s="72" t="s">
        <v>40</v>
      </c>
      <c r="B8" s="46">
        <f>COUNTIF('POST Game Stats'!A:A, A8)</f>
        <v>4</v>
      </c>
      <c r="C8" s="73">
        <f t="shared" si="1"/>
        <v>13</v>
      </c>
      <c r="D8" s="46">
        <f>sumif('POST Game Stats'!$A:$A, $A8, 'POST Game Stats'!B:B)</f>
        <v>8</v>
      </c>
      <c r="E8" s="46">
        <f>sumif('POST Game Stats'!$A:$A, $A8, 'POST Game Stats'!C:C)</f>
        <v>5</v>
      </c>
      <c r="F8" s="46">
        <f>sumif('POST Game Stats'!$A:$A, $A8, 'POST Game Stats'!D:D)</f>
        <v>2</v>
      </c>
      <c r="G8" s="46">
        <f>sumif('POST Game Stats'!$A:$A, $A8, 'POST Game Stats'!E:E)</f>
        <v>2</v>
      </c>
      <c r="H8" s="73">
        <f t="shared" si="2"/>
        <v>1</v>
      </c>
      <c r="I8" s="73">
        <f>sumif('POST Game Stats'!$A:$A, $A8, 'POST Game Stats'!G:G)</f>
        <v>0</v>
      </c>
      <c r="J8" s="73">
        <f>sumif('POST Game Stats'!$A:$A, $A8, 'POST Game Stats'!H:H)</f>
        <v>0</v>
      </c>
      <c r="K8" s="73">
        <f>sumif('POST Game Stats'!$A:$A, $A8, 'POST Game Stats'!I:I)</f>
        <v>1</v>
      </c>
      <c r="L8" s="46">
        <f>sumif('POST Game Stats'!$A:$A, $A8, 'POST Game Stats'!Q:Q)</f>
        <v>1</v>
      </c>
      <c r="M8" s="46">
        <f>sumif('POST Game Stats'!$A:$A, $A8, 'POST Game Stats'!J:J)</f>
        <v>4</v>
      </c>
      <c r="N8" s="46">
        <f>sumif('POST Game Stats'!$A:$A, $A8, 'POST Game Stats'!K:K)</f>
        <v>3</v>
      </c>
      <c r="O8" s="46">
        <f>sumif('POST Game Stats'!$A:$A, $A8, 'POST Game Stats'!N:N)</f>
        <v>1</v>
      </c>
      <c r="P8" s="73">
        <f>sumif('POST Game Stats'!$A:$A, $A8, 'POST Game Stats'!L:L)</f>
        <v>0</v>
      </c>
      <c r="Q8" s="73">
        <f>sumif('POST Game Stats'!$A:$A, $A8, 'POST Game Stats'!M:M)</f>
        <v>0</v>
      </c>
      <c r="R8" s="64">
        <f t="shared" si="3"/>
        <v>5</v>
      </c>
      <c r="S8" s="74">
        <f t="shared" si="4"/>
        <v>0.25</v>
      </c>
      <c r="T8" s="74">
        <f t="shared" si="5"/>
        <v>0.5384615385</v>
      </c>
      <c r="U8" s="75">
        <f t="shared" si="6"/>
        <v>0.625</v>
      </c>
      <c r="V8" s="75">
        <f t="shared" si="7"/>
        <v>1.163461538</v>
      </c>
      <c r="W8" s="75">
        <f t="shared" si="8"/>
        <v>2.5</v>
      </c>
      <c r="X8" s="47">
        <f t="shared" si="9"/>
        <v>0.3076923077</v>
      </c>
      <c r="Y8" s="76">
        <f t="shared" si="10"/>
        <v>0.2307692308</v>
      </c>
      <c r="Z8" s="77">
        <f t="shared" si="11"/>
        <v>1.333333333</v>
      </c>
      <c r="AA8" s="64">
        <f t="shared" si="12"/>
        <v>8</v>
      </c>
      <c r="AB8" s="75">
        <f t="shared" si="13"/>
        <v>0.4892307692</v>
      </c>
      <c r="AC8" s="78">
        <f>if(D8=0, 0, sumif('POST Game Stats'!AD:AD, A8, 'POST Game Stats'!AC:AC))</f>
        <v>0</v>
      </c>
      <c r="AD8" s="79">
        <v>1.0</v>
      </c>
      <c r="AE8" s="80">
        <f t="shared" si="14"/>
        <v>0.5</v>
      </c>
      <c r="AF8" s="79">
        <v>0.0</v>
      </c>
      <c r="AG8" s="81">
        <f t="shared" si="15"/>
        <v>0.25</v>
      </c>
      <c r="AH8" s="81">
        <f t="shared" si="16"/>
        <v>0.375</v>
      </c>
      <c r="AI8" s="81">
        <f t="shared" si="17"/>
        <v>1</v>
      </c>
    </row>
    <row r="9" ht="15.75" customHeight="1">
      <c r="A9" s="72" t="s">
        <v>41</v>
      </c>
      <c r="B9" s="46">
        <f>COUNTIF('POST Game Stats'!A:A, A9)</f>
        <v>0</v>
      </c>
      <c r="C9" s="73">
        <f t="shared" si="1"/>
        <v>0</v>
      </c>
      <c r="D9" s="46">
        <f>sumif('POST Game Stats'!$A:$A, $A9, 'POST Game Stats'!B:B)</f>
        <v>0</v>
      </c>
      <c r="E9" s="46">
        <f>sumif('POST Game Stats'!$A:$A, $A9, 'POST Game Stats'!C:C)</f>
        <v>0</v>
      </c>
      <c r="F9" s="46">
        <f>sumif('POST Game Stats'!$A:$A, $A9, 'POST Game Stats'!D:D)</f>
        <v>0</v>
      </c>
      <c r="G9" s="46">
        <f>sumif('POST Game Stats'!$A:$A, $A9, 'POST Game Stats'!E:E)</f>
        <v>0</v>
      </c>
      <c r="H9" s="73">
        <f t="shared" si="2"/>
        <v>0</v>
      </c>
      <c r="I9" s="73">
        <f>sumif('POST Game Stats'!$A:$A, $A9, 'POST Game Stats'!G:G)</f>
        <v>0</v>
      </c>
      <c r="J9" s="73">
        <f>sumif('POST Game Stats'!$A:$A, $A9, 'POST Game Stats'!H:H)</f>
        <v>0</v>
      </c>
      <c r="K9" s="73">
        <f>sumif('POST Game Stats'!$A:$A, $A9, 'POST Game Stats'!I:I)</f>
        <v>0</v>
      </c>
      <c r="L9" s="46">
        <f>sumif('POST Game Stats'!$A:$A, $A9, 'POST Game Stats'!Q:Q)</f>
        <v>0</v>
      </c>
      <c r="M9" s="46">
        <f>sumif('POST Game Stats'!$A:$A, $A9, 'POST Game Stats'!J:J)</f>
        <v>0</v>
      </c>
      <c r="N9" s="46">
        <f>sumif('POST Game Stats'!$A:$A, $A9, 'POST Game Stats'!K:K)</f>
        <v>0</v>
      </c>
      <c r="O9" s="46">
        <f>sumif('POST Game Stats'!$A:$A, $A9, 'POST Game Stats'!N:N)</f>
        <v>0</v>
      </c>
      <c r="P9" s="73">
        <f>sumif('POST Game Stats'!$A:$A, $A9, 'POST Game Stats'!L:L)</f>
        <v>0</v>
      </c>
      <c r="Q9" s="73">
        <f>sumif('POST Game Stats'!$A:$A, $A9, 'POST Game Stats'!M:M)</f>
        <v>0</v>
      </c>
      <c r="R9" s="64">
        <f t="shared" si="3"/>
        <v>0</v>
      </c>
      <c r="S9" s="74" t="str">
        <f t="shared" si="4"/>
        <v>-</v>
      </c>
      <c r="T9" s="74" t="str">
        <f t="shared" si="5"/>
        <v>-</v>
      </c>
      <c r="U9" s="75" t="str">
        <f t="shared" si="6"/>
        <v>-</v>
      </c>
      <c r="V9" s="75" t="str">
        <f t="shared" si="7"/>
        <v>-</v>
      </c>
      <c r="W9" s="75" t="str">
        <f t="shared" si="8"/>
        <v>-</v>
      </c>
      <c r="X9" s="47" t="str">
        <f t="shared" si="9"/>
        <v>-</v>
      </c>
      <c r="Y9" s="76" t="str">
        <f t="shared" si="10"/>
        <v>-</v>
      </c>
      <c r="Z9" s="77" t="str">
        <f t="shared" si="11"/>
        <v>-</v>
      </c>
      <c r="AA9" s="64" t="str">
        <f t="shared" si="12"/>
        <v>-</v>
      </c>
      <c r="AB9" s="75" t="str">
        <f t="shared" si="13"/>
        <v>-</v>
      </c>
      <c r="AC9" s="78">
        <f>if(D9=0, 0, sumif('POST Game Stats'!AD:AD, A9, 'POST Game Stats'!AC:AC))</f>
        <v>0</v>
      </c>
      <c r="AD9" s="79">
        <v>0.0</v>
      </c>
      <c r="AE9" s="80" t="str">
        <f t="shared" si="14"/>
        <v>-</v>
      </c>
      <c r="AF9" s="79">
        <v>0.0</v>
      </c>
      <c r="AG9" s="81" t="str">
        <f t="shared" si="15"/>
        <v>-</v>
      </c>
      <c r="AH9" s="81" t="str">
        <f t="shared" si="16"/>
        <v>-</v>
      </c>
      <c r="AI9" s="81" t="str">
        <f t="shared" si="17"/>
        <v>-</v>
      </c>
    </row>
    <row r="10" ht="15.75" customHeight="1">
      <c r="A10" s="72" t="s">
        <v>42</v>
      </c>
      <c r="B10" s="46">
        <f>COUNTIF('POST Game Stats'!A:A, A10)</f>
        <v>4</v>
      </c>
      <c r="C10" s="73">
        <f t="shared" si="1"/>
        <v>10</v>
      </c>
      <c r="D10" s="46">
        <f>sumif('POST Game Stats'!$A:$A, $A10, 'POST Game Stats'!B:B)</f>
        <v>5</v>
      </c>
      <c r="E10" s="46">
        <f>sumif('POST Game Stats'!$A:$A, $A10, 'POST Game Stats'!C:C)</f>
        <v>2</v>
      </c>
      <c r="F10" s="46">
        <f>sumif('POST Game Stats'!$A:$A, $A10, 'POST Game Stats'!D:D)</f>
        <v>0</v>
      </c>
      <c r="G10" s="46">
        <f>sumif('POST Game Stats'!$A:$A, $A10, 'POST Game Stats'!E:E)</f>
        <v>1</v>
      </c>
      <c r="H10" s="73">
        <f t="shared" si="2"/>
        <v>0</v>
      </c>
      <c r="I10" s="73">
        <f>sumif('POST Game Stats'!$A:$A, $A10, 'POST Game Stats'!G:G)</f>
        <v>0</v>
      </c>
      <c r="J10" s="73">
        <f>sumif('POST Game Stats'!$A:$A, $A10, 'POST Game Stats'!H:H)</f>
        <v>0</v>
      </c>
      <c r="K10" s="73">
        <f>sumif('POST Game Stats'!$A:$A, $A10, 'POST Game Stats'!I:I)</f>
        <v>0</v>
      </c>
      <c r="L10" s="46">
        <f>sumif('POST Game Stats'!$A:$A, $A10, 'POST Game Stats'!Q:Q)</f>
        <v>0</v>
      </c>
      <c r="M10" s="46">
        <f>sumif('POST Game Stats'!$A:$A, $A10, 'POST Game Stats'!J:J)</f>
        <v>2</v>
      </c>
      <c r="N10" s="46">
        <f>sumif('POST Game Stats'!$A:$A, $A10, 'POST Game Stats'!K:K)</f>
        <v>0</v>
      </c>
      <c r="O10" s="46">
        <f>sumif('POST Game Stats'!$A:$A, $A10, 'POST Game Stats'!N:N)</f>
        <v>1</v>
      </c>
      <c r="P10" s="73">
        <f>sumif('POST Game Stats'!$A:$A, $A10, 'POST Game Stats'!L:L)</f>
        <v>1</v>
      </c>
      <c r="Q10" s="73">
        <f>sumif('POST Game Stats'!$A:$A, $A10, 'POST Game Stats'!M:M)</f>
        <v>1</v>
      </c>
      <c r="R10" s="64">
        <f t="shared" si="3"/>
        <v>0</v>
      </c>
      <c r="S10" s="74">
        <f t="shared" si="4"/>
        <v>0</v>
      </c>
      <c r="T10" s="74">
        <f t="shared" si="5"/>
        <v>0.3333333333</v>
      </c>
      <c r="U10" s="75">
        <f t="shared" si="6"/>
        <v>0</v>
      </c>
      <c r="V10" s="75">
        <f t="shared" si="7"/>
        <v>0.3333333333</v>
      </c>
      <c r="W10" s="75">
        <f t="shared" si="8"/>
        <v>0</v>
      </c>
      <c r="X10" s="47">
        <f t="shared" si="9"/>
        <v>0.2</v>
      </c>
      <c r="Y10" s="76">
        <f t="shared" si="10"/>
        <v>0</v>
      </c>
      <c r="Z10" s="77" t="str">
        <f t="shared" si="11"/>
        <v>0</v>
      </c>
      <c r="AA10" s="64" t="str">
        <f t="shared" si="12"/>
        <v>-</v>
      </c>
      <c r="AB10" s="75">
        <f t="shared" si="13"/>
        <v>0.2333333333</v>
      </c>
      <c r="AC10" s="78">
        <f>if(D10=0, 0, sumif('POST Game Stats'!AD:AD, A10, 'POST Game Stats'!AC:AC))</f>
        <v>2</v>
      </c>
      <c r="AD10" s="79">
        <v>0.0</v>
      </c>
      <c r="AE10" s="80" t="str">
        <f t="shared" si="14"/>
        <v>-</v>
      </c>
      <c r="AF10" s="79">
        <v>1.0</v>
      </c>
      <c r="AG10" s="81">
        <f t="shared" si="15"/>
        <v>0</v>
      </c>
      <c r="AH10" s="81">
        <f t="shared" si="16"/>
        <v>0</v>
      </c>
      <c r="AI10" s="81" t="str">
        <f t="shared" si="17"/>
        <v>-</v>
      </c>
    </row>
    <row r="11" ht="15.75" customHeight="1">
      <c r="A11" s="72" t="s">
        <v>43</v>
      </c>
      <c r="B11" s="46">
        <f>COUNTIF('POST Game Stats'!A:A, A11)</f>
        <v>1</v>
      </c>
      <c r="C11" s="73">
        <f t="shared" si="1"/>
        <v>1</v>
      </c>
      <c r="D11" s="46">
        <f>sumif('POST Game Stats'!$A:$A, $A11, 'POST Game Stats'!B:B)</f>
        <v>0</v>
      </c>
      <c r="E11" s="46">
        <f>sumif('POST Game Stats'!$A:$A, $A11, 'POST Game Stats'!C:C)</f>
        <v>1</v>
      </c>
      <c r="F11" s="46">
        <f>sumif('POST Game Stats'!$A:$A, $A11, 'POST Game Stats'!D:D)</f>
        <v>0</v>
      </c>
      <c r="G11" s="46">
        <f>sumif('POST Game Stats'!$A:$A, $A11, 'POST Game Stats'!E:E)</f>
        <v>0</v>
      </c>
      <c r="H11" s="73">
        <f t="shared" si="2"/>
        <v>0</v>
      </c>
      <c r="I11" s="73">
        <f>sumif('POST Game Stats'!$A:$A, $A11, 'POST Game Stats'!G:G)</f>
        <v>0</v>
      </c>
      <c r="J11" s="73">
        <f>sumif('POST Game Stats'!$A:$A, $A11, 'POST Game Stats'!H:H)</f>
        <v>0</v>
      </c>
      <c r="K11" s="73">
        <f>sumif('POST Game Stats'!$A:$A, $A11, 'POST Game Stats'!I:I)</f>
        <v>0</v>
      </c>
      <c r="L11" s="46">
        <f>sumif('POST Game Stats'!$A:$A, $A11, 'POST Game Stats'!Q:Q)</f>
        <v>0</v>
      </c>
      <c r="M11" s="46">
        <f>sumif('POST Game Stats'!$A:$A, $A11, 'POST Game Stats'!J:J)</f>
        <v>1</v>
      </c>
      <c r="N11" s="46">
        <f>sumif('POST Game Stats'!$A:$A, $A11, 'POST Game Stats'!K:K)</f>
        <v>0</v>
      </c>
      <c r="O11" s="46">
        <f>sumif('POST Game Stats'!$A:$A, $A11, 'POST Game Stats'!N:N)</f>
        <v>0</v>
      </c>
      <c r="P11" s="73">
        <f>sumif('POST Game Stats'!$A:$A, $A11, 'POST Game Stats'!L:L)</f>
        <v>0</v>
      </c>
      <c r="Q11" s="73">
        <f>sumif('POST Game Stats'!$A:$A, $A11, 'POST Game Stats'!M:M)</f>
        <v>0</v>
      </c>
      <c r="R11" s="64">
        <f t="shared" si="3"/>
        <v>0</v>
      </c>
      <c r="S11" s="74">
        <f t="shared" si="4"/>
        <v>0</v>
      </c>
      <c r="T11" s="74">
        <f t="shared" si="5"/>
        <v>1</v>
      </c>
      <c r="U11" s="75">
        <f t="shared" si="6"/>
        <v>0</v>
      </c>
      <c r="V11" s="75">
        <f t="shared" si="7"/>
        <v>1</v>
      </c>
      <c r="W11" s="75" t="str">
        <f t="shared" si="8"/>
        <v>-</v>
      </c>
      <c r="X11" s="47">
        <f t="shared" si="9"/>
        <v>1</v>
      </c>
      <c r="Y11" s="76">
        <f t="shared" si="10"/>
        <v>0</v>
      </c>
      <c r="Z11" s="77" t="str">
        <f t="shared" si="11"/>
        <v>0</v>
      </c>
      <c r="AA11" s="64" t="str">
        <f t="shared" si="12"/>
        <v>-</v>
      </c>
      <c r="AB11" s="75">
        <f t="shared" si="13"/>
        <v>0.69</v>
      </c>
      <c r="AC11" s="78">
        <f>if(D11=0, 0, sumif('POST Game Stats'!AD:AD, A11, 'POST Game Stats'!AC:AC))</f>
        <v>0</v>
      </c>
      <c r="AD11" s="79">
        <v>0.0</v>
      </c>
      <c r="AE11" s="80" t="str">
        <f t="shared" si="14"/>
        <v>-</v>
      </c>
      <c r="AF11" s="79">
        <v>0.0</v>
      </c>
      <c r="AG11" s="81" t="str">
        <f t="shared" si="15"/>
        <v>-</v>
      </c>
      <c r="AH11" s="81" t="str">
        <f t="shared" si="16"/>
        <v>-</v>
      </c>
      <c r="AI11" s="81" t="str">
        <f t="shared" si="17"/>
        <v>-</v>
      </c>
    </row>
    <row r="12" ht="15.75" customHeight="1">
      <c r="A12" s="72" t="s">
        <v>44</v>
      </c>
      <c r="B12" s="46">
        <f>COUNTIF('POST Game Stats'!A:A, A12)</f>
        <v>4</v>
      </c>
      <c r="C12" s="73">
        <f t="shared" si="1"/>
        <v>11</v>
      </c>
      <c r="D12" s="46">
        <f>sumif('POST Game Stats'!$A:$A, $A12, 'POST Game Stats'!B:B)</f>
        <v>9</v>
      </c>
      <c r="E12" s="46">
        <f>sumif('POST Game Stats'!$A:$A, $A12, 'POST Game Stats'!C:C)</f>
        <v>3</v>
      </c>
      <c r="F12" s="46">
        <f>sumif('POST Game Stats'!$A:$A, $A12, 'POST Game Stats'!D:D)</f>
        <v>3</v>
      </c>
      <c r="G12" s="46">
        <f>sumif('POST Game Stats'!$A:$A, $A12, 'POST Game Stats'!E:E)</f>
        <v>3</v>
      </c>
      <c r="H12" s="73">
        <f t="shared" si="2"/>
        <v>3</v>
      </c>
      <c r="I12" s="73">
        <f>sumif('POST Game Stats'!$A:$A, $A12, 'POST Game Stats'!G:G)</f>
        <v>0</v>
      </c>
      <c r="J12" s="73">
        <f>sumif('POST Game Stats'!$A:$A, $A12, 'POST Game Stats'!H:H)</f>
        <v>0</v>
      </c>
      <c r="K12" s="73">
        <f>sumif('POST Game Stats'!$A:$A, $A12, 'POST Game Stats'!I:I)</f>
        <v>0</v>
      </c>
      <c r="L12" s="46">
        <f>sumif('POST Game Stats'!$A:$A, $A12, 'POST Game Stats'!Q:Q)</f>
        <v>2</v>
      </c>
      <c r="M12" s="46">
        <f>sumif('POST Game Stats'!$A:$A, $A12, 'POST Game Stats'!J:J)</f>
        <v>0</v>
      </c>
      <c r="N12" s="46">
        <f>sumif('POST Game Stats'!$A:$A, $A12, 'POST Game Stats'!K:K)</f>
        <v>1</v>
      </c>
      <c r="O12" s="46">
        <f>sumif('POST Game Stats'!$A:$A, $A12, 'POST Game Stats'!N:N)</f>
        <v>0</v>
      </c>
      <c r="P12" s="73">
        <f>sumif('POST Game Stats'!$A:$A, $A12, 'POST Game Stats'!L:L)</f>
        <v>0</v>
      </c>
      <c r="Q12" s="73">
        <f>sumif('POST Game Stats'!$A:$A, $A12, 'POST Game Stats'!M:M)</f>
        <v>2</v>
      </c>
      <c r="R12" s="64">
        <f t="shared" si="3"/>
        <v>3</v>
      </c>
      <c r="S12" s="74">
        <f t="shared" si="4"/>
        <v>0.3333333333</v>
      </c>
      <c r="T12" s="74">
        <f t="shared" si="5"/>
        <v>0.3333333333</v>
      </c>
      <c r="U12" s="75">
        <f t="shared" si="6"/>
        <v>0.3333333333</v>
      </c>
      <c r="V12" s="75">
        <f t="shared" si="7"/>
        <v>0.6666666667</v>
      </c>
      <c r="W12" s="75">
        <f t="shared" si="8"/>
        <v>1</v>
      </c>
      <c r="X12" s="47">
        <f t="shared" si="9"/>
        <v>0</v>
      </c>
      <c r="Y12" s="76">
        <f t="shared" si="10"/>
        <v>0.09090909091</v>
      </c>
      <c r="Z12" s="77">
        <f t="shared" si="11"/>
        <v>0</v>
      </c>
      <c r="AA12" s="64" t="str">
        <f t="shared" si="12"/>
        <v>-</v>
      </c>
      <c r="AB12" s="75">
        <f t="shared" si="13"/>
        <v>0.2933333333</v>
      </c>
      <c r="AC12" s="78">
        <f>if(D12=0, 0, sumif('POST Game Stats'!AD:AD, A12, 'POST Game Stats'!AC:AC))</f>
        <v>0</v>
      </c>
      <c r="AD12" s="79">
        <v>0.0</v>
      </c>
      <c r="AE12" s="80">
        <f t="shared" si="14"/>
        <v>1</v>
      </c>
      <c r="AF12" s="79">
        <v>0.0</v>
      </c>
      <c r="AG12" s="81">
        <f t="shared" si="15"/>
        <v>0.375</v>
      </c>
      <c r="AH12" s="81">
        <f t="shared" si="16"/>
        <v>0</v>
      </c>
      <c r="AI12" s="81">
        <f t="shared" si="17"/>
        <v>0</v>
      </c>
    </row>
    <row r="13" ht="15.75" customHeight="1">
      <c r="A13" s="72" t="s">
        <v>45</v>
      </c>
      <c r="B13" s="46">
        <f>COUNTIF('POST Game Stats'!A:A, A13)</f>
        <v>1</v>
      </c>
      <c r="C13" s="73">
        <f t="shared" si="1"/>
        <v>2</v>
      </c>
      <c r="D13" s="46">
        <f>sumif('POST Game Stats'!$A:$A, $A13, 'POST Game Stats'!B:B)</f>
        <v>2</v>
      </c>
      <c r="E13" s="46">
        <f>sumif('POST Game Stats'!$A:$A, $A13, 'POST Game Stats'!C:C)</f>
        <v>0</v>
      </c>
      <c r="F13" s="46">
        <f>sumif('POST Game Stats'!$A:$A, $A13, 'POST Game Stats'!D:D)</f>
        <v>1</v>
      </c>
      <c r="G13" s="46">
        <f>sumif('POST Game Stats'!$A:$A, $A13, 'POST Game Stats'!E:E)</f>
        <v>1</v>
      </c>
      <c r="H13" s="73">
        <f t="shared" si="2"/>
        <v>1</v>
      </c>
      <c r="I13" s="73">
        <f>sumif('POST Game Stats'!$A:$A, $A13, 'POST Game Stats'!G:G)</f>
        <v>0</v>
      </c>
      <c r="J13" s="73">
        <f>sumif('POST Game Stats'!$A:$A, $A13, 'POST Game Stats'!H:H)</f>
        <v>0</v>
      </c>
      <c r="K13" s="73">
        <f>sumif('POST Game Stats'!$A:$A, $A13, 'POST Game Stats'!I:I)</f>
        <v>0</v>
      </c>
      <c r="L13" s="46">
        <f>sumif('POST Game Stats'!$A:$A, $A13, 'POST Game Stats'!Q:Q)</f>
        <v>0</v>
      </c>
      <c r="M13" s="46">
        <f>sumif('POST Game Stats'!$A:$A, $A13, 'POST Game Stats'!J:J)</f>
        <v>0</v>
      </c>
      <c r="N13" s="46">
        <f>sumif('POST Game Stats'!$A:$A, $A13, 'POST Game Stats'!K:K)</f>
        <v>0</v>
      </c>
      <c r="O13" s="46">
        <f>sumif('POST Game Stats'!$A:$A, $A13, 'POST Game Stats'!N:N)</f>
        <v>0</v>
      </c>
      <c r="P13" s="73">
        <f>sumif('POST Game Stats'!$A:$A, $A13, 'POST Game Stats'!L:L)</f>
        <v>0</v>
      </c>
      <c r="Q13" s="73">
        <f>sumif('POST Game Stats'!$A:$A, $A13, 'POST Game Stats'!M:M)</f>
        <v>0</v>
      </c>
      <c r="R13" s="64">
        <f t="shared" si="3"/>
        <v>1</v>
      </c>
      <c r="S13" s="74">
        <f t="shared" si="4"/>
        <v>0.5</v>
      </c>
      <c r="T13" s="74">
        <f t="shared" si="5"/>
        <v>0.5</v>
      </c>
      <c r="U13" s="75">
        <f t="shared" si="6"/>
        <v>0.5</v>
      </c>
      <c r="V13" s="75">
        <f t="shared" si="7"/>
        <v>1</v>
      </c>
      <c r="W13" s="75">
        <f t="shared" si="8"/>
        <v>0.5</v>
      </c>
      <c r="X13" s="47">
        <f t="shared" si="9"/>
        <v>0</v>
      </c>
      <c r="Y13" s="76">
        <f t="shared" si="10"/>
        <v>0</v>
      </c>
      <c r="Z13" s="77" t="str">
        <f t="shared" si="11"/>
        <v>0</v>
      </c>
      <c r="AA13" s="64" t="str">
        <f t="shared" si="12"/>
        <v>-</v>
      </c>
      <c r="AB13" s="75">
        <f t="shared" si="13"/>
        <v>0.44</v>
      </c>
      <c r="AC13" s="78">
        <f>if(D13=0, 0, sumif('POST Game Stats'!AD:AD, A13, 'POST Game Stats'!AC:AC))</f>
        <v>0</v>
      </c>
      <c r="AD13" s="79">
        <v>0.0</v>
      </c>
      <c r="AE13" s="80" t="str">
        <f t="shared" si="14"/>
        <v>-</v>
      </c>
      <c r="AF13" s="79">
        <v>0.0</v>
      </c>
      <c r="AG13" s="81">
        <f t="shared" si="15"/>
        <v>0.5</v>
      </c>
      <c r="AH13" s="81">
        <f t="shared" si="16"/>
        <v>0</v>
      </c>
      <c r="AI13" s="81" t="str">
        <f t="shared" si="17"/>
        <v>-</v>
      </c>
    </row>
    <row r="14" ht="15.75" customHeight="1">
      <c r="A14" s="72" t="s">
        <v>46</v>
      </c>
      <c r="B14" s="46">
        <f>COUNTIF('POST Game Stats'!A:A, A14)</f>
        <v>4</v>
      </c>
      <c r="C14" s="73">
        <f t="shared" si="1"/>
        <v>12</v>
      </c>
      <c r="D14" s="46">
        <f>sumif('POST Game Stats'!$A:$A, $A14, 'POST Game Stats'!B:B)</f>
        <v>10</v>
      </c>
      <c r="E14" s="46">
        <f>sumif('POST Game Stats'!$A:$A, $A14, 'POST Game Stats'!C:C)</f>
        <v>3</v>
      </c>
      <c r="F14" s="46">
        <f>sumif('POST Game Stats'!$A:$A, $A14, 'POST Game Stats'!D:D)</f>
        <v>2</v>
      </c>
      <c r="G14" s="46">
        <f>sumif('POST Game Stats'!$A:$A, $A14, 'POST Game Stats'!E:E)</f>
        <v>4</v>
      </c>
      <c r="H14" s="73">
        <f t="shared" si="2"/>
        <v>1</v>
      </c>
      <c r="I14" s="73">
        <f>sumif('POST Game Stats'!$A:$A, $A14, 'POST Game Stats'!G:G)</f>
        <v>0</v>
      </c>
      <c r="J14" s="73">
        <f>sumif('POST Game Stats'!$A:$A, $A14, 'POST Game Stats'!H:H)</f>
        <v>1</v>
      </c>
      <c r="K14" s="73">
        <f>sumif('POST Game Stats'!$A:$A, $A14, 'POST Game Stats'!I:I)</f>
        <v>0</v>
      </c>
      <c r="L14" s="46">
        <f>sumif('POST Game Stats'!$A:$A, $A14, 'POST Game Stats'!Q:Q)</f>
        <v>1</v>
      </c>
      <c r="M14" s="46">
        <f>sumif('POST Game Stats'!$A:$A, $A14, 'POST Game Stats'!J:J)</f>
        <v>2</v>
      </c>
      <c r="N14" s="46">
        <f>sumif('POST Game Stats'!$A:$A, $A14, 'POST Game Stats'!K:K)</f>
        <v>3</v>
      </c>
      <c r="O14" s="46">
        <f>sumif('POST Game Stats'!$A:$A, $A14, 'POST Game Stats'!N:N)</f>
        <v>0</v>
      </c>
      <c r="P14" s="73">
        <f>sumif('POST Game Stats'!$A:$A, $A14, 'POST Game Stats'!L:L)</f>
        <v>0</v>
      </c>
      <c r="Q14" s="73">
        <f>sumif('POST Game Stats'!$A:$A, $A14, 'POST Game Stats'!M:M)</f>
        <v>0</v>
      </c>
      <c r="R14" s="64">
        <f t="shared" si="3"/>
        <v>4</v>
      </c>
      <c r="S14" s="74">
        <f t="shared" si="4"/>
        <v>0.2</v>
      </c>
      <c r="T14" s="74">
        <f t="shared" si="5"/>
        <v>0.3333333333</v>
      </c>
      <c r="U14" s="75">
        <f t="shared" si="6"/>
        <v>0.4</v>
      </c>
      <c r="V14" s="75">
        <f t="shared" si="7"/>
        <v>0.7333333333</v>
      </c>
      <c r="W14" s="75">
        <f t="shared" si="8"/>
        <v>1.333333333</v>
      </c>
      <c r="X14" s="47">
        <f t="shared" si="9"/>
        <v>0.1666666667</v>
      </c>
      <c r="Y14" s="76">
        <f t="shared" si="10"/>
        <v>0.25</v>
      </c>
      <c r="Z14" s="77">
        <f t="shared" si="11"/>
        <v>0.6666666667</v>
      </c>
      <c r="AA14" s="64" t="str">
        <f t="shared" si="12"/>
        <v>-</v>
      </c>
      <c r="AB14" s="75">
        <f t="shared" si="13"/>
        <v>0.3191666667</v>
      </c>
      <c r="AC14" s="78">
        <f>if(D14=0, 0, sumif('POST Game Stats'!AD:AD, A14, 'POST Game Stats'!AC:AC))</f>
        <v>4</v>
      </c>
      <c r="AD14" s="79">
        <v>0.0</v>
      </c>
      <c r="AE14" s="80">
        <f t="shared" si="14"/>
        <v>1</v>
      </c>
      <c r="AF14" s="79">
        <v>0.0</v>
      </c>
      <c r="AG14" s="81">
        <f t="shared" si="15"/>
        <v>0.2857142857</v>
      </c>
      <c r="AH14" s="81">
        <f t="shared" si="16"/>
        <v>0.2</v>
      </c>
      <c r="AI14" s="81">
        <f t="shared" si="17"/>
        <v>0</v>
      </c>
    </row>
    <row r="15" ht="15.75" customHeight="1">
      <c r="A15" s="72" t="s">
        <v>47</v>
      </c>
      <c r="B15" s="46">
        <f>COUNTIF('POST Game Stats'!A:A, A15)</f>
        <v>0</v>
      </c>
      <c r="C15" s="73">
        <f t="shared" si="1"/>
        <v>0</v>
      </c>
      <c r="D15" s="46">
        <f>sumif('POST Game Stats'!$A:$A, $A15, 'POST Game Stats'!B:B)</f>
        <v>0</v>
      </c>
      <c r="E15" s="46">
        <f>sumif('POST Game Stats'!$A:$A, $A15, 'POST Game Stats'!C:C)</f>
        <v>0</v>
      </c>
      <c r="F15" s="46">
        <f>sumif('POST Game Stats'!$A:$A, $A15, 'POST Game Stats'!D:D)</f>
        <v>0</v>
      </c>
      <c r="G15" s="46">
        <f>sumif('POST Game Stats'!$A:$A, $A15, 'POST Game Stats'!E:E)</f>
        <v>0</v>
      </c>
      <c r="H15" s="73">
        <f t="shared" si="2"/>
        <v>0</v>
      </c>
      <c r="I15" s="73">
        <f>sumif('POST Game Stats'!$A:$A, $A15, 'POST Game Stats'!G:G)</f>
        <v>0</v>
      </c>
      <c r="J15" s="73">
        <f>sumif('POST Game Stats'!$A:$A, $A15, 'POST Game Stats'!H:H)</f>
        <v>0</v>
      </c>
      <c r="K15" s="73">
        <f>sumif('POST Game Stats'!$A:$A, $A15, 'POST Game Stats'!I:I)</f>
        <v>0</v>
      </c>
      <c r="L15" s="46">
        <f>sumif('POST Game Stats'!$A:$A, $A15, 'POST Game Stats'!Q:Q)</f>
        <v>0</v>
      </c>
      <c r="M15" s="46">
        <f>sumif('POST Game Stats'!$A:$A, $A15, 'POST Game Stats'!J:J)</f>
        <v>0</v>
      </c>
      <c r="N15" s="46">
        <f>sumif('POST Game Stats'!$A:$A, $A15, 'POST Game Stats'!K:K)</f>
        <v>0</v>
      </c>
      <c r="O15" s="46">
        <f>sumif('POST Game Stats'!$A:$A, $A15, 'POST Game Stats'!N:N)</f>
        <v>0</v>
      </c>
      <c r="P15" s="73">
        <f>sumif('POST Game Stats'!$A:$A, $A15, 'POST Game Stats'!L:L)</f>
        <v>0</v>
      </c>
      <c r="Q15" s="73">
        <f>sumif('POST Game Stats'!$A:$A, $A15, 'POST Game Stats'!M:M)</f>
        <v>0</v>
      </c>
      <c r="R15" s="64">
        <f t="shared" si="3"/>
        <v>0</v>
      </c>
      <c r="S15" s="74" t="str">
        <f t="shared" si="4"/>
        <v>-</v>
      </c>
      <c r="T15" s="74" t="str">
        <f t="shared" si="5"/>
        <v>-</v>
      </c>
      <c r="U15" s="75" t="str">
        <f t="shared" si="6"/>
        <v>-</v>
      </c>
      <c r="V15" s="75" t="str">
        <f t="shared" si="7"/>
        <v>-</v>
      </c>
      <c r="W15" s="75" t="str">
        <f t="shared" si="8"/>
        <v>-</v>
      </c>
      <c r="X15" s="47" t="str">
        <f t="shared" si="9"/>
        <v>-</v>
      </c>
      <c r="Y15" s="76" t="str">
        <f t="shared" si="10"/>
        <v>-</v>
      </c>
      <c r="Z15" s="77" t="str">
        <f t="shared" si="11"/>
        <v>-</v>
      </c>
      <c r="AA15" s="64" t="str">
        <f t="shared" si="12"/>
        <v>-</v>
      </c>
      <c r="AB15" s="75" t="str">
        <f t="shared" si="13"/>
        <v>-</v>
      </c>
      <c r="AC15" s="78">
        <f>if(D15=0, 0, sumif('POST Game Stats'!AD:AD, A15, 'POST Game Stats'!AC:AC))</f>
        <v>0</v>
      </c>
      <c r="AD15" s="79">
        <v>0.0</v>
      </c>
      <c r="AE15" s="80" t="str">
        <f t="shared" si="14"/>
        <v>-</v>
      </c>
      <c r="AF15" s="79">
        <v>0.0</v>
      </c>
      <c r="AG15" s="81" t="str">
        <f t="shared" si="15"/>
        <v>-</v>
      </c>
      <c r="AH15" s="81" t="str">
        <f t="shared" si="16"/>
        <v>-</v>
      </c>
      <c r="AI15" s="81" t="str">
        <f t="shared" si="17"/>
        <v>-</v>
      </c>
    </row>
    <row r="16" ht="15.75" customHeight="1">
      <c r="A16" s="72" t="s">
        <v>48</v>
      </c>
      <c r="B16" s="46">
        <f>COUNTIF('POST Game Stats'!A:A, A16)</f>
        <v>1</v>
      </c>
      <c r="C16" s="73">
        <f t="shared" si="1"/>
        <v>2</v>
      </c>
      <c r="D16" s="46">
        <f>sumif('POST Game Stats'!$A:$A, $A16, 'POST Game Stats'!B:B)</f>
        <v>1</v>
      </c>
      <c r="E16" s="46">
        <f>sumif('POST Game Stats'!$A:$A, $A16, 'POST Game Stats'!C:C)</f>
        <v>1</v>
      </c>
      <c r="F16" s="46">
        <f>sumif('POST Game Stats'!$A:$A, $A16, 'POST Game Stats'!D:D)</f>
        <v>1</v>
      </c>
      <c r="G16" s="46">
        <f>sumif('POST Game Stats'!$A:$A, $A16, 'POST Game Stats'!E:E)</f>
        <v>1</v>
      </c>
      <c r="H16" s="73">
        <f t="shared" si="2"/>
        <v>1</v>
      </c>
      <c r="I16" s="73">
        <f>sumif('POST Game Stats'!$A:$A, $A16, 'POST Game Stats'!G:G)</f>
        <v>0</v>
      </c>
      <c r="J16" s="73">
        <f>sumif('POST Game Stats'!$A:$A, $A16, 'POST Game Stats'!H:H)</f>
        <v>0</v>
      </c>
      <c r="K16" s="73">
        <f>sumif('POST Game Stats'!$A:$A, $A16, 'POST Game Stats'!I:I)</f>
        <v>0</v>
      </c>
      <c r="L16" s="46">
        <f>sumif('POST Game Stats'!$A:$A, $A16, 'POST Game Stats'!Q:Q)</f>
        <v>0</v>
      </c>
      <c r="M16" s="46">
        <f>sumif('POST Game Stats'!$A:$A, $A16, 'POST Game Stats'!J:J)</f>
        <v>1</v>
      </c>
      <c r="N16" s="46">
        <f>sumif('POST Game Stats'!$A:$A, $A16, 'POST Game Stats'!K:K)</f>
        <v>0</v>
      </c>
      <c r="O16" s="46">
        <f>sumif('POST Game Stats'!$A:$A, $A16, 'POST Game Stats'!N:N)</f>
        <v>0</v>
      </c>
      <c r="P16" s="73">
        <f>sumif('POST Game Stats'!$A:$A, $A16, 'POST Game Stats'!L:L)</f>
        <v>0</v>
      </c>
      <c r="Q16" s="73">
        <f>sumif('POST Game Stats'!$A:$A, $A16, 'POST Game Stats'!M:M)</f>
        <v>0</v>
      </c>
      <c r="R16" s="64">
        <f t="shared" si="3"/>
        <v>1</v>
      </c>
      <c r="S16" s="74">
        <f t="shared" si="4"/>
        <v>1</v>
      </c>
      <c r="T16" s="74">
        <f t="shared" si="5"/>
        <v>1</v>
      </c>
      <c r="U16" s="75">
        <f t="shared" si="6"/>
        <v>1</v>
      </c>
      <c r="V16" s="75">
        <f t="shared" si="7"/>
        <v>2</v>
      </c>
      <c r="W16" s="75">
        <f t="shared" si="8"/>
        <v>1</v>
      </c>
      <c r="X16" s="47">
        <f t="shared" si="9"/>
        <v>0.5</v>
      </c>
      <c r="Y16" s="76">
        <f t="shared" si="10"/>
        <v>0</v>
      </c>
      <c r="Z16" s="77" t="str">
        <f t="shared" si="11"/>
        <v>0</v>
      </c>
      <c r="AA16" s="64" t="str">
        <f t="shared" si="12"/>
        <v>-</v>
      </c>
      <c r="AB16" s="75">
        <f t="shared" si="13"/>
        <v>0.785</v>
      </c>
      <c r="AC16" s="78">
        <f>if(D16=0, 0, sumif('POST Game Stats'!AD:AD, A16, 'POST Game Stats'!AC:AC))</f>
        <v>0</v>
      </c>
      <c r="AD16" s="79">
        <v>0.0</v>
      </c>
      <c r="AE16" s="80" t="str">
        <f t="shared" si="14"/>
        <v>-</v>
      </c>
      <c r="AF16" s="79">
        <v>0.0</v>
      </c>
      <c r="AG16" s="81">
        <f t="shared" si="15"/>
        <v>1</v>
      </c>
      <c r="AH16" s="81">
        <f t="shared" si="16"/>
        <v>0</v>
      </c>
      <c r="AI16" s="81" t="str">
        <f t="shared" si="17"/>
        <v>-</v>
      </c>
    </row>
    <row r="17" ht="15.75" customHeight="1">
      <c r="A17" s="72" t="s">
        <v>49</v>
      </c>
      <c r="B17" s="46">
        <f>COUNTIF('POST Game Stats'!A:A, A17)</f>
        <v>4</v>
      </c>
      <c r="C17" s="73">
        <f t="shared" si="1"/>
        <v>14</v>
      </c>
      <c r="D17" s="46">
        <f>sumif('POST Game Stats'!$A:$A, $A17, 'POST Game Stats'!B:B)</f>
        <v>12</v>
      </c>
      <c r="E17" s="46">
        <f>sumif('POST Game Stats'!$A:$A, $A17, 'POST Game Stats'!C:C)</f>
        <v>6</v>
      </c>
      <c r="F17" s="46">
        <f>sumif('POST Game Stats'!$A:$A, $A17, 'POST Game Stats'!D:D)</f>
        <v>4</v>
      </c>
      <c r="G17" s="46">
        <f>sumif('POST Game Stats'!$A:$A, $A17, 'POST Game Stats'!E:E)</f>
        <v>4</v>
      </c>
      <c r="H17" s="73">
        <f t="shared" si="2"/>
        <v>3</v>
      </c>
      <c r="I17" s="73">
        <f>sumif('POST Game Stats'!$A:$A, $A17, 'POST Game Stats'!G:G)</f>
        <v>1</v>
      </c>
      <c r="J17" s="73">
        <f>sumif('POST Game Stats'!$A:$A, $A17, 'POST Game Stats'!H:H)</f>
        <v>0</v>
      </c>
      <c r="K17" s="73">
        <f>sumif('POST Game Stats'!$A:$A, $A17, 'POST Game Stats'!I:I)</f>
        <v>0</v>
      </c>
      <c r="L17" s="46">
        <f>sumif('POST Game Stats'!$A:$A, $A17, 'POST Game Stats'!Q:Q)</f>
        <v>3</v>
      </c>
      <c r="M17" s="46">
        <f>sumif('POST Game Stats'!$A:$A, $A17, 'POST Game Stats'!J:J)</f>
        <v>2</v>
      </c>
      <c r="N17" s="46">
        <f>sumif('POST Game Stats'!$A:$A, $A17, 'POST Game Stats'!K:K)</f>
        <v>2</v>
      </c>
      <c r="O17" s="46">
        <f>sumif('POST Game Stats'!$A:$A, $A17, 'POST Game Stats'!N:N)</f>
        <v>0</v>
      </c>
      <c r="P17" s="73">
        <f>sumif('POST Game Stats'!$A:$A, $A17, 'POST Game Stats'!L:L)</f>
        <v>0</v>
      </c>
      <c r="Q17" s="73">
        <f>sumif('POST Game Stats'!$A:$A, $A17, 'POST Game Stats'!M:M)</f>
        <v>0</v>
      </c>
      <c r="R17" s="64">
        <f t="shared" si="3"/>
        <v>5</v>
      </c>
      <c r="S17" s="74">
        <f t="shared" si="4"/>
        <v>0.3333333333</v>
      </c>
      <c r="T17" s="74">
        <f t="shared" si="5"/>
        <v>0.4285714286</v>
      </c>
      <c r="U17" s="75">
        <f t="shared" si="6"/>
        <v>0.4166666667</v>
      </c>
      <c r="V17" s="75">
        <f t="shared" si="7"/>
        <v>0.8452380952</v>
      </c>
      <c r="W17" s="75">
        <f t="shared" si="8"/>
        <v>2.142857143</v>
      </c>
      <c r="X17" s="47">
        <f t="shared" si="9"/>
        <v>0.1428571429</v>
      </c>
      <c r="Y17" s="76">
        <f t="shared" si="10"/>
        <v>0.1428571429</v>
      </c>
      <c r="Z17" s="77">
        <f t="shared" si="11"/>
        <v>1</v>
      </c>
      <c r="AA17" s="64" t="str">
        <f t="shared" si="12"/>
        <v>-</v>
      </c>
      <c r="AB17" s="75">
        <f t="shared" si="13"/>
        <v>0.3757142857</v>
      </c>
      <c r="AC17" s="78">
        <f>if(D17=0, 0, sumif('POST Game Stats'!AD:AD, A17, 'POST Game Stats'!AC:AC))</f>
        <v>1</v>
      </c>
      <c r="AD17" s="79">
        <v>0.0</v>
      </c>
      <c r="AE17" s="80">
        <f t="shared" si="14"/>
        <v>1</v>
      </c>
      <c r="AF17" s="79">
        <v>0.0</v>
      </c>
      <c r="AG17" s="81">
        <f t="shared" si="15"/>
        <v>0.4</v>
      </c>
      <c r="AH17" s="81">
        <f t="shared" si="16"/>
        <v>0.08333333333</v>
      </c>
      <c r="AI17" s="81">
        <f t="shared" si="17"/>
        <v>0</v>
      </c>
    </row>
    <row r="18" ht="15.75" customHeight="1">
      <c r="A18" s="72" t="s">
        <v>50</v>
      </c>
      <c r="B18" s="46">
        <f>COUNTIF('POST Game Stats'!A:A, A18)</f>
        <v>4</v>
      </c>
      <c r="C18" s="73">
        <f t="shared" si="1"/>
        <v>15</v>
      </c>
      <c r="D18" s="46">
        <f>sumif('POST Game Stats'!$A:$A, $A18, 'POST Game Stats'!B:B)</f>
        <v>13</v>
      </c>
      <c r="E18" s="46">
        <f>sumif('POST Game Stats'!$A:$A, $A18, 'POST Game Stats'!C:C)</f>
        <v>6</v>
      </c>
      <c r="F18" s="46">
        <f>sumif('POST Game Stats'!$A:$A, $A18, 'POST Game Stats'!D:D)</f>
        <v>6</v>
      </c>
      <c r="G18" s="46">
        <f>sumif('POST Game Stats'!$A:$A, $A18, 'POST Game Stats'!E:E)</f>
        <v>9</v>
      </c>
      <c r="H18" s="73">
        <f t="shared" si="2"/>
        <v>2</v>
      </c>
      <c r="I18" s="73">
        <f>sumif('POST Game Stats'!$A:$A, $A18, 'POST Game Stats'!G:G)</f>
        <v>2</v>
      </c>
      <c r="J18" s="73">
        <f>sumif('POST Game Stats'!$A:$A, $A18, 'POST Game Stats'!H:H)</f>
        <v>0</v>
      </c>
      <c r="K18" s="73">
        <f>sumif('POST Game Stats'!$A:$A, $A18, 'POST Game Stats'!I:I)</f>
        <v>2</v>
      </c>
      <c r="L18" s="46">
        <f>sumif('POST Game Stats'!$A:$A, $A18, 'POST Game Stats'!Q:Q)</f>
        <v>2</v>
      </c>
      <c r="M18" s="46">
        <f>sumif('POST Game Stats'!$A:$A, $A18, 'POST Game Stats'!J:J)</f>
        <v>1</v>
      </c>
      <c r="N18" s="46">
        <f>sumif('POST Game Stats'!$A:$A, $A18, 'POST Game Stats'!K:K)</f>
        <v>3</v>
      </c>
      <c r="O18" s="46">
        <f>sumif('POST Game Stats'!$A:$A, $A18, 'POST Game Stats'!N:N)</f>
        <v>0</v>
      </c>
      <c r="P18" s="73">
        <f>sumif('POST Game Stats'!$A:$A, $A18, 'POST Game Stats'!L:L)</f>
        <v>1</v>
      </c>
      <c r="Q18" s="73">
        <f>sumif('POST Game Stats'!$A:$A, $A18, 'POST Game Stats'!M:M)</f>
        <v>0</v>
      </c>
      <c r="R18" s="64">
        <f t="shared" si="3"/>
        <v>14</v>
      </c>
      <c r="S18" s="74">
        <f t="shared" si="4"/>
        <v>0.4615384615</v>
      </c>
      <c r="T18" s="74">
        <f t="shared" si="5"/>
        <v>0.4666666667</v>
      </c>
      <c r="U18" s="75">
        <f t="shared" si="6"/>
        <v>1.076923077</v>
      </c>
      <c r="V18" s="75">
        <f t="shared" si="7"/>
        <v>1.543589744</v>
      </c>
      <c r="W18" s="75">
        <f t="shared" si="8"/>
        <v>7</v>
      </c>
      <c r="X18" s="47">
        <f t="shared" si="9"/>
        <v>0.06666666667</v>
      </c>
      <c r="Y18" s="76">
        <f t="shared" si="10"/>
        <v>0.2</v>
      </c>
      <c r="Z18" s="77">
        <f t="shared" si="11"/>
        <v>0.3333333333</v>
      </c>
      <c r="AA18" s="64">
        <f t="shared" si="12"/>
        <v>6.5</v>
      </c>
      <c r="AB18" s="75">
        <f t="shared" si="13"/>
        <v>0.5953333333</v>
      </c>
      <c r="AC18" s="78">
        <f>if(D18=0, 0, sumif('POST Game Stats'!AD:AD, A18, 'POST Game Stats'!AC:AC))</f>
        <v>2</v>
      </c>
      <c r="AD18" s="79">
        <v>0.0</v>
      </c>
      <c r="AE18" s="80">
        <f t="shared" si="14"/>
        <v>1</v>
      </c>
      <c r="AF18" s="79">
        <v>1.0</v>
      </c>
      <c r="AG18" s="81">
        <f t="shared" si="15"/>
        <v>0.4444444444</v>
      </c>
      <c r="AH18" s="81">
        <f t="shared" si="16"/>
        <v>0.6153846154</v>
      </c>
      <c r="AI18" s="81">
        <f t="shared" si="17"/>
        <v>2</v>
      </c>
    </row>
    <row r="19" ht="15.75" customHeight="1">
      <c r="A19" s="72" t="s">
        <v>51</v>
      </c>
      <c r="B19" s="46">
        <f>COUNTIF('POST Game Stats'!A:A, A19)</f>
        <v>1</v>
      </c>
      <c r="C19" s="73">
        <f t="shared" si="1"/>
        <v>1</v>
      </c>
      <c r="D19" s="46">
        <f>sumif('POST Game Stats'!$A:$A, $A19, 'POST Game Stats'!B:B)</f>
        <v>0</v>
      </c>
      <c r="E19" s="46">
        <f>sumif('POST Game Stats'!$A:$A, $A19, 'POST Game Stats'!C:C)</f>
        <v>1</v>
      </c>
      <c r="F19" s="46">
        <f>sumif('POST Game Stats'!$A:$A, $A19, 'POST Game Stats'!D:D)</f>
        <v>0</v>
      </c>
      <c r="G19" s="46">
        <f>sumif('POST Game Stats'!$A:$A, $A19, 'POST Game Stats'!E:E)</f>
        <v>0</v>
      </c>
      <c r="H19" s="73">
        <f t="shared" si="2"/>
        <v>0</v>
      </c>
      <c r="I19" s="73">
        <f>sumif('POST Game Stats'!$A:$A, $A19, 'POST Game Stats'!G:G)</f>
        <v>0</v>
      </c>
      <c r="J19" s="73">
        <f>sumif('POST Game Stats'!$A:$A, $A19, 'POST Game Stats'!H:H)</f>
        <v>0</v>
      </c>
      <c r="K19" s="73">
        <f>sumif('POST Game Stats'!$A:$A, $A19, 'POST Game Stats'!I:I)</f>
        <v>0</v>
      </c>
      <c r="L19" s="46">
        <f>sumif('POST Game Stats'!$A:$A, $A19, 'POST Game Stats'!Q:Q)</f>
        <v>0</v>
      </c>
      <c r="M19" s="46">
        <f>sumif('POST Game Stats'!$A:$A, $A19, 'POST Game Stats'!J:J)</f>
        <v>1</v>
      </c>
      <c r="N19" s="46">
        <f>sumif('POST Game Stats'!$A:$A, $A19, 'POST Game Stats'!K:K)</f>
        <v>0</v>
      </c>
      <c r="O19" s="46">
        <f>sumif('POST Game Stats'!$A:$A, $A19, 'POST Game Stats'!N:N)</f>
        <v>0</v>
      </c>
      <c r="P19" s="73">
        <f>sumif('POST Game Stats'!$A:$A, $A19, 'POST Game Stats'!L:L)</f>
        <v>0</v>
      </c>
      <c r="Q19" s="73">
        <f>sumif('POST Game Stats'!$A:$A, $A19, 'POST Game Stats'!M:M)</f>
        <v>0</v>
      </c>
      <c r="R19" s="64">
        <f t="shared" si="3"/>
        <v>0</v>
      </c>
      <c r="S19" s="74">
        <f t="shared" si="4"/>
        <v>0</v>
      </c>
      <c r="T19" s="74">
        <f t="shared" si="5"/>
        <v>1</v>
      </c>
      <c r="U19" s="75">
        <f t="shared" si="6"/>
        <v>0</v>
      </c>
      <c r="V19" s="75">
        <f t="shared" si="7"/>
        <v>1</v>
      </c>
      <c r="W19" s="75" t="str">
        <f t="shared" si="8"/>
        <v>-</v>
      </c>
      <c r="X19" s="47">
        <f t="shared" si="9"/>
        <v>1</v>
      </c>
      <c r="Y19" s="76">
        <f t="shared" si="10"/>
        <v>0</v>
      </c>
      <c r="Z19" s="77" t="str">
        <f t="shared" si="11"/>
        <v>0</v>
      </c>
      <c r="AA19" s="64" t="str">
        <f t="shared" si="12"/>
        <v>-</v>
      </c>
      <c r="AB19" s="75">
        <f t="shared" si="13"/>
        <v>0.69</v>
      </c>
      <c r="AC19" s="78">
        <f>if(D19=0, 0, sumif('POST Game Stats'!AD:AD, A19, 'POST Game Stats'!AC:AC))</f>
        <v>0</v>
      </c>
      <c r="AD19" s="79">
        <v>0.0</v>
      </c>
      <c r="AE19" s="80" t="str">
        <f t="shared" si="14"/>
        <v>-</v>
      </c>
      <c r="AF19" s="79">
        <v>0.0</v>
      </c>
      <c r="AG19" s="81" t="str">
        <f t="shared" si="15"/>
        <v>-</v>
      </c>
      <c r="AH19" s="81" t="str">
        <f t="shared" si="16"/>
        <v>-</v>
      </c>
      <c r="AI19" s="81" t="str">
        <f t="shared" si="17"/>
        <v>-</v>
      </c>
    </row>
    <row r="20" ht="15.75" customHeight="1">
      <c r="A20" s="72" t="s">
        <v>52</v>
      </c>
      <c r="B20" s="46">
        <f>COUNTIF('POST Game Stats'!A:A, A20)</f>
        <v>1</v>
      </c>
      <c r="C20" s="73">
        <f t="shared" si="1"/>
        <v>1</v>
      </c>
      <c r="D20" s="46">
        <f>sumif('POST Game Stats'!$A:$A, $A20, 'POST Game Stats'!B:B)</f>
        <v>1</v>
      </c>
      <c r="E20" s="46">
        <f>sumif('POST Game Stats'!$A:$A, $A20, 'POST Game Stats'!C:C)</f>
        <v>1</v>
      </c>
      <c r="F20" s="46">
        <f>sumif('POST Game Stats'!$A:$A, $A20, 'POST Game Stats'!D:D)</f>
        <v>1</v>
      </c>
      <c r="G20" s="46">
        <f>sumif('POST Game Stats'!$A:$A, $A20, 'POST Game Stats'!E:E)</f>
        <v>0</v>
      </c>
      <c r="H20" s="73">
        <f t="shared" si="2"/>
        <v>1</v>
      </c>
      <c r="I20" s="73">
        <f>sumif('POST Game Stats'!$A:$A, $A20, 'POST Game Stats'!G:G)</f>
        <v>0</v>
      </c>
      <c r="J20" s="73">
        <f>sumif('POST Game Stats'!$A:$A, $A20, 'POST Game Stats'!H:H)</f>
        <v>0</v>
      </c>
      <c r="K20" s="73">
        <f>sumif('POST Game Stats'!$A:$A, $A20, 'POST Game Stats'!I:I)</f>
        <v>0</v>
      </c>
      <c r="L20" s="46">
        <f>sumif('POST Game Stats'!$A:$A, $A20, 'POST Game Stats'!Q:Q)</f>
        <v>0</v>
      </c>
      <c r="M20" s="46">
        <f>sumif('POST Game Stats'!$A:$A, $A20, 'POST Game Stats'!J:J)</f>
        <v>0</v>
      </c>
      <c r="N20" s="46">
        <f>sumif('POST Game Stats'!$A:$A, $A20, 'POST Game Stats'!K:K)</f>
        <v>0</v>
      </c>
      <c r="O20" s="46">
        <f>sumif('POST Game Stats'!$A:$A, $A20, 'POST Game Stats'!N:N)</f>
        <v>0</v>
      </c>
      <c r="P20" s="73">
        <f>sumif('POST Game Stats'!$A:$A, $A20, 'POST Game Stats'!L:L)</f>
        <v>0</v>
      </c>
      <c r="Q20" s="73">
        <f>sumif('POST Game Stats'!$A:$A, $A20, 'POST Game Stats'!M:M)</f>
        <v>0</v>
      </c>
      <c r="R20" s="64">
        <f t="shared" si="3"/>
        <v>1</v>
      </c>
      <c r="S20" s="74">
        <f t="shared" si="4"/>
        <v>1</v>
      </c>
      <c r="T20" s="74">
        <f t="shared" si="5"/>
        <v>1</v>
      </c>
      <c r="U20" s="75">
        <f t="shared" si="6"/>
        <v>1</v>
      </c>
      <c r="V20" s="75">
        <f t="shared" si="7"/>
        <v>2</v>
      </c>
      <c r="W20" s="75">
        <f t="shared" si="8"/>
        <v>1</v>
      </c>
      <c r="X20" s="47">
        <f t="shared" si="9"/>
        <v>0</v>
      </c>
      <c r="Y20" s="76">
        <f t="shared" si="10"/>
        <v>0</v>
      </c>
      <c r="Z20" s="77" t="str">
        <f t="shared" si="11"/>
        <v>0</v>
      </c>
      <c r="AA20" s="64" t="str">
        <f t="shared" si="12"/>
        <v>-</v>
      </c>
      <c r="AB20" s="75">
        <f t="shared" si="13"/>
        <v>0.88</v>
      </c>
      <c r="AC20" s="78">
        <f>if(D20=0, 0, sumif('POST Game Stats'!AD:AD, A20, 'POST Game Stats'!AC:AC))</f>
        <v>0</v>
      </c>
      <c r="AD20" s="79">
        <v>0.0</v>
      </c>
      <c r="AE20" s="80" t="str">
        <f t="shared" si="14"/>
        <v>-</v>
      </c>
      <c r="AF20" s="79">
        <v>0.0</v>
      </c>
      <c r="AG20" s="81">
        <f t="shared" si="15"/>
        <v>1</v>
      </c>
      <c r="AH20" s="81">
        <f t="shared" si="16"/>
        <v>0</v>
      </c>
      <c r="AI20" s="81" t="str">
        <f t="shared" si="17"/>
        <v>-</v>
      </c>
    </row>
    <row r="21" ht="15.75" customHeight="1">
      <c r="A21" s="72" t="s">
        <v>53</v>
      </c>
      <c r="B21" s="46">
        <f>COUNTIF('POST Game Stats'!A:A, A21)</f>
        <v>4</v>
      </c>
      <c r="C21" s="73">
        <f t="shared" si="1"/>
        <v>14</v>
      </c>
      <c r="D21" s="46">
        <f>sumif('POST Game Stats'!$A:$A, $A21, 'POST Game Stats'!B:B)</f>
        <v>11</v>
      </c>
      <c r="E21" s="46">
        <f>sumif('POST Game Stats'!$A:$A, $A21, 'POST Game Stats'!C:C)</f>
        <v>5</v>
      </c>
      <c r="F21" s="46">
        <f>sumif('POST Game Stats'!$A:$A, $A21, 'POST Game Stats'!D:D)</f>
        <v>6</v>
      </c>
      <c r="G21" s="46">
        <f>sumif('POST Game Stats'!$A:$A, $A21, 'POST Game Stats'!E:E)</f>
        <v>4</v>
      </c>
      <c r="H21" s="73">
        <f t="shared" si="2"/>
        <v>5</v>
      </c>
      <c r="I21" s="73">
        <f>sumif('POST Game Stats'!$A:$A, $A21, 'POST Game Stats'!G:G)</f>
        <v>0</v>
      </c>
      <c r="J21" s="73">
        <f>sumif('POST Game Stats'!$A:$A, $A21, 'POST Game Stats'!H:H)</f>
        <v>0</v>
      </c>
      <c r="K21" s="73">
        <f>sumif('POST Game Stats'!$A:$A, $A21, 'POST Game Stats'!I:I)</f>
        <v>1</v>
      </c>
      <c r="L21" s="46">
        <f>sumif('POST Game Stats'!$A:$A, $A21, 'POST Game Stats'!Q:Q)</f>
        <v>1</v>
      </c>
      <c r="M21" s="46">
        <f>sumif('POST Game Stats'!$A:$A, $A21, 'POST Game Stats'!J:J)</f>
        <v>1</v>
      </c>
      <c r="N21" s="46">
        <f>sumif('POST Game Stats'!$A:$A, $A21, 'POST Game Stats'!K:K)</f>
        <v>1</v>
      </c>
      <c r="O21" s="46">
        <f>sumif('POST Game Stats'!$A:$A, $A21, 'POST Game Stats'!N:N)</f>
        <v>0</v>
      </c>
      <c r="P21" s="73">
        <f>sumif('POST Game Stats'!$A:$A, $A21, 'POST Game Stats'!L:L)</f>
        <v>0</v>
      </c>
      <c r="Q21" s="73">
        <f>sumif('POST Game Stats'!$A:$A, $A21, 'POST Game Stats'!M:M)</f>
        <v>2</v>
      </c>
      <c r="R21" s="64">
        <f t="shared" si="3"/>
        <v>9</v>
      </c>
      <c r="S21" s="74">
        <f t="shared" si="4"/>
        <v>0.5454545455</v>
      </c>
      <c r="T21" s="74">
        <f t="shared" si="5"/>
        <v>0.5833333333</v>
      </c>
      <c r="U21" s="75">
        <f t="shared" si="6"/>
        <v>0.8181818182</v>
      </c>
      <c r="V21" s="75">
        <f t="shared" si="7"/>
        <v>1.401515152</v>
      </c>
      <c r="W21" s="75">
        <f t="shared" si="8"/>
        <v>5.25</v>
      </c>
      <c r="X21" s="47">
        <f t="shared" si="9"/>
        <v>0.07142857143</v>
      </c>
      <c r="Y21" s="76">
        <f t="shared" si="10"/>
        <v>0.07142857143</v>
      </c>
      <c r="Z21" s="77">
        <f t="shared" si="11"/>
        <v>1</v>
      </c>
      <c r="AA21" s="64">
        <f t="shared" si="12"/>
        <v>11</v>
      </c>
      <c r="AB21" s="75">
        <f t="shared" si="13"/>
        <v>0.5908333333</v>
      </c>
      <c r="AC21" s="78">
        <f>if(D21=0, 0, sumif('POST Game Stats'!AD:AD, A21, 'POST Game Stats'!AC:AC))</f>
        <v>2</v>
      </c>
      <c r="AD21" s="79">
        <v>1.0</v>
      </c>
      <c r="AE21" s="80">
        <f t="shared" si="14"/>
        <v>0.5</v>
      </c>
      <c r="AF21" s="79">
        <v>2.0</v>
      </c>
      <c r="AG21" s="81">
        <f t="shared" si="15"/>
        <v>0.5555555556</v>
      </c>
      <c r="AH21" s="81">
        <f t="shared" si="16"/>
        <v>0.2727272727</v>
      </c>
      <c r="AI21" s="81">
        <f t="shared" si="17"/>
        <v>1</v>
      </c>
    </row>
    <row r="22" ht="15.75" customHeight="1">
      <c r="A22" s="4" t="s">
        <v>54</v>
      </c>
      <c r="B22" s="4"/>
      <c r="C22" s="4">
        <f t="shared" ref="C22:G22" si="18">sum(C3:C21)</f>
        <v>126</v>
      </c>
      <c r="D22" s="4">
        <f t="shared" si="18"/>
        <v>98</v>
      </c>
      <c r="E22" s="4">
        <f t="shared" si="18"/>
        <v>43</v>
      </c>
      <c r="F22" s="4">
        <f t="shared" si="18"/>
        <v>36</v>
      </c>
      <c r="G22" s="4">
        <f t="shared" si="18"/>
        <v>36</v>
      </c>
      <c r="H22" s="4">
        <f t="shared" si="2"/>
        <v>25</v>
      </c>
      <c r="I22" s="4">
        <f t="shared" ref="I22:Q22" si="19">sum(I3:I21)</f>
        <v>5</v>
      </c>
      <c r="J22" s="4">
        <f t="shared" si="19"/>
        <v>2</v>
      </c>
      <c r="K22" s="4">
        <f t="shared" si="19"/>
        <v>4</v>
      </c>
      <c r="L22" s="4">
        <f t="shared" si="19"/>
        <v>14</v>
      </c>
      <c r="M22" s="4">
        <f t="shared" si="19"/>
        <v>18</v>
      </c>
      <c r="N22" s="4">
        <f t="shared" si="19"/>
        <v>16</v>
      </c>
      <c r="O22" s="4">
        <f t="shared" si="19"/>
        <v>2</v>
      </c>
      <c r="P22" s="4">
        <f t="shared" si="19"/>
        <v>3</v>
      </c>
      <c r="Q22" s="4">
        <f t="shared" si="19"/>
        <v>5</v>
      </c>
      <c r="R22" s="2">
        <f t="shared" si="3"/>
        <v>57</v>
      </c>
      <c r="S22" s="33">
        <f>iferror(F22/D22, 0)</f>
        <v>0.3673469388</v>
      </c>
      <c r="T22" s="33">
        <f>iferror((F22+M22+O22)/(D22+M22+O22+P22), 0)</f>
        <v>0.4628099174</v>
      </c>
      <c r="U22" s="33">
        <f>iferror(R22/D22, 0)</f>
        <v>0.5816326531</v>
      </c>
      <c r="V22" s="33">
        <f>T22+U22</f>
        <v>1.04444257</v>
      </c>
      <c r="W22" s="94">
        <f>iferror(((F22+M22)*R22)/(D22+M22), 0)</f>
        <v>26.53448276</v>
      </c>
      <c r="X22" s="95">
        <f>iferror(M22/C22, 0)</f>
        <v>0.1428571429</v>
      </c>
      <c r="Y22" s="95">
        <f>iferror(N22/C22, 0)</f>
        <v>0.126984127</v>
      </c>
      <c r="Z22" s="96">
        <f t="shared" si="11"/>
        <v>1.125</v>
      </c>
      <c r="AA22" s="2">
        <f t="shared" si="12"/>
        <v>24.5</v>
      </c>
      <c r="AB22" s="33">
        <f>if(D22=0, "-", ((0.69*M22)+(0.72*O22)+(0.88*H22)+(1.24*I22)+(1.57*J22)+(2*K22))/(D22+M22+O22+P22))</f>
        <v>0.4396694215</v>
      </c>
      <c r="AC22" s="36">
        <f t="shared" ref="AC22:AD22" si="20">sum(AC3:AC21)</f>
        <v>16</v>
      </c>
      <c r="AD22" s="36">
        <f t="shared" si="20"/>
        <v>2</v>
      </c>
      <c r="AE22" s="37">
        <f t="shared" si="14"/>
        <v>0.875</v>
      </c>
      <c r="AF22" s="36">
        <f>SUM(AF3:AF21)</f>
        <v>4</v>
      </c>
      <c r="AG22" s="38">
        <f t="shared" si="15"/>
        <v>0.3950617284</v>
      </c>
      <c r="AH22" s="38">
        <f t="shared" si="16"/>
        <v>0.2142857143</v>
      </c>
      <c r="AI22" s="38">
        <f t="shared" si="17"/>
        <v>6.222222222</v>
      </c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41"/>
      <c r="AC23" s="41"/>
      <c r="AD23" s="41"/>
      <c r="AE23" s="41"/>
      <c r="AF23" s="41"/>
      <c r="AG23" s="41"/>
      <c r="AH23" s="41"/>
      <c r="AI23" s="41"/>
    </row>
    <row r="24" ht="15.75" customHeight="1">
      <c r="A24" s="1" t="s">
        <v>55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4"/>
      <c r="AB24" s="4"/>
      <c r="AC24" s="5"/>
      <c r="AD24" s="5"/>
      <c r="AE24" s="5"/>
      <c r="AF24" s="5"/>
      <c r="AG24" s="5"/>
      <c r="AH24" s="5"/>
      <c r="AI24" s="5"/>
    </row>
    <row r="25" ht="15.75" customHeight="1">
      <c r="A25" s="6" t="s">
        <v>0</v>
      </c>
      <c r="B25" s="6" t="s">
        <v>1</v>
      </c>
      <c r="C25" s="6" t="s">
        <v>56</v>
      </c>
      <c r="D25" s="6" t="s">
        <v>57</v>
      </c>
      <c r="E25" s="6" t="s">
        <v>58</v>
      </c>
      <c r="F25" s="6" t="s">
        <v>59</v>
      </c>
      <c r="G25" s="6" t="s">
        <v>60</v>
      </c>
      <c r="H25" s="6" t="s">
        <v>61</v>
      </c>
      <c r="I25" s="6" t="s">
        <v>62</v>
      </c>
      <c r="J25" s="6" t="s">
        <v>63</v>
      </c>
      <c r="K25" s="6" t="s">
        <v>64</v>
      </c>
      <c r="L25" s="6" t="s">
        <v>12</v>
      </c>
      <c r="M25" s="6" t="s">
        <v>13</v>
      </c>
      <c r="N25" s="6" t="s">
        <v>10</v>
      </c>
      <c r="O25" s="6" t="s">
        <v>65</v>
      </c>
      <c r="P25" s="6" t="s">
        <v>66</v>
      </c>
      <c r="Q25" s="6" t="s">
        <v>67</v>
      </c>
      <c r="R25" s="6" t="s">
        <v>68</v>
      </c>
      <c r="S25" s="6" t="s">
        <v>69</v>
      </c>
      <c r="T25" s="6" t="s">
        <v>70</v>
      </c>
      <c r="U25" s="6" t="s">
        <v>71</v>
      </c>
      <c r="V25" s="6" t="s">
        <v>72</v>
      </c>
      <c r="W25" s="6" t="s">
        <v>73</v>
      </c>
      <c r="X25" s="42" t="s">
        <v>74</v>
      </c>
      <c r="Y25" s="6" t="s">
        <v>75</v>
      </c>
      <c r="Z25" s="6" t="s">
        <v>25</v>
      </c>
      <c r="AA25" s="8" t="s">
        <v>31</v>
      </c>
      <c r="AB25" s="44"/>
      <c r="AC25" s="44"/>
      <c r="AD25" s="44"/>
      <c r="AE25" s="44"/>
      <c r="AF25" s="44"/>
      <c r="AG25" s="44"/>
      <c r="AH25" s="44"/>
      <c r="AI25" s="44"/>
    </row>
    <row r="26" ht="15.75" customHeight="1">
      <c r="A26" s="45" t="s">
        <v>76</v>
      </c>
      <c r="B26" s="84">
        <f>COUNTIF('POST Game Stats'!R:R, A26)</f>
        <v>1</v>
      </c>
      <c r="C26" s="85" t="str">
        <f t="shared" ref="C26:C38" si="21">IF((O26+P26)=0, "-", O26/(O26+P26))</f>
        <v>-</v>
      </c>
      <c r="D26" s="84">
        <v>0.0</v>
      </c>
      <c r="E26" s="84">
        <v>0.0</v>
      </c>
      <c r="F26" s="84">
        <v>1.0</v>
      </c>
      <c r="G26" s="97">
        <f>2/3</f>
        <v>0.6666666667</v>
      </c>
      <c r="H26" s="84">
        <f t="shared" ref="H26:H38" si="22">F26+ifs(G26=1/3, 0.1, G26=2/3, 0.2, G26=0, 0)</f>
        <v>1.2</v>
      </c>
      <c r="I26" s="84">
        <f>sumif('POST Game Stats'!$R:$R, $A26, 'POST Game Stats'!T:T)</f>
        <v>1</v>
      </c>
      <c r="J26" s="84">
        <f>sumif('POST Game Stats'!$R:$R, $A26, 'POST Game Stats'!U:U)</f>
        <v>1</v>
      </c>
      <c r="K26" s="84">
        <f>sumif('POST Game Stats'!$R:$R, $A26, 'POST Game Stats'!V:V)</f>
        <v>1</v>
      </c>
      <c r="L26" s="84">
        <f>sumif('POST Game Stats'!$R:$R, $A26, 'POST Game Stats'!W:W)</f>
        <v>1</v>
      </c>
      <c r="M26" s="84">
        <f>sumif('POST Game Stats'!$R:$R, $A26, 'POST Game Stats'!X:X)</f>
        <v>2</v>
      </c>
      <c r="N26" s="84">
        <f>sumif('POST Game Stats'!$R:$R, $A26, 'POST Game Stats'!Y:Y)</f>
        <v>0</v>
      </c>
      <c r="O26" s="84">
        <v>0.0</v>
      </c>
      <c r="P26" s="84">
        <v>0.0</v>
      </c>
      <c r="Q26" s="84">
        <v>0.0</v>
      </c>
      <c r="R26" s="84">
        <v>0.0</v>
      </c>
      <c r="S26" s="49">
        <f t="shared" ref="S26:S38" si="23">if(F26=0, "-", (L26+I26)/(F26+G26))</f>
        <v>1.2</v>
      </c>
      <c r="T26" s="49">
        <f t="shared" ref="T26:T38" si="24">if(F26=0, "-", (K26/(F26+G26))*7)</f>
        <v>4.2</v>
      </c>
      <c r="U26" s="50">
        <f t="shared" ref="U26:U38" si="25">if(F26=0, "-", 7*(I26/(F26+G26)))</f>
        <v>4.2</v>
      </c>
      <c r="V26" s="49">
        <f t="shared" ref="V26:V38" si="26">if(F26=0, "-", 7*(L26/(F26+G26)))</f>
        <v>4.2</v>
      </c>
      <c r="W26" s="49">
        <f t="shared" ref="W26:W38" si="27">if(F26=0, "-", 7*(M26/(F26+G26)))</f>
        <v>8.4</v>
      </c>
      <c r="X26" s="51">
        <f t="shared" ref="X26:X38" si="28">if(F26=0, "-", 9*(M26/(F26+G26)))</f>
        <v>10.8</v>
      </c>
      <c r="Y26" s="49">
        <f t="shared" ref="Y26:Y38" si="29">if(F26=0, "-", 7*(N26/(F26+G26)))</f>
        <v>0</v>
      </c>
      <c r="Z26" s="74">
        <f t="shared" ref="Z26:Z38" si="30">if(M26=0,"-", L26/M26)</f>
        <v>0.5</v>
      </c>
      <c r="AA26" s="53">
        <v>0.0</v>
      </c>
      <c r="AB26" s="54"/>
      <c r="AC26" s="54"/>
      <c r="AD26" s="54"/>
      <c r="AE26" s="54"/>
      <c r="AF26" s="54"/>
      <c r="AG26" s="54"/>
      <c r="AH26" s="54"/>
      <c r="AI26" s="54"/>
    </row>
    <row r="27" ht="15.75" customHeight="1">
      <c r="A27" s="45" t="s">
        <v>38</v>
      </c>
      <c r="B27" s="84">
        <f>COUNTIF('POST Game Stats'!R:R, A27)</f>
        <v>0</v>
      </c>
      <c r="C27" s="85" t="str">
        <f t="shared" si="21"/>
        <v>-</v>
      </c>
      <c r="D27" s="84">
        <v>0.0</v>
      </c>
      <c r="E27" s="84">
        <v>0.0</v>
      </c>
      <c r="F27" s="84">
        <v>0.0</v>
      </c>
      <c r="G27" s="97">
        <v>0.0</v>
      </c>
      <c r="H27" s="84">
        <f t="shared" si="22"/>
        <v>0</v>
      </c>
      <c r="I27" s="84">
        <f>sumif('POST Game Stats'!$R:$R, $A27, 'POST Game Stats'!T:T)</f>
        <v>0</v>
      </c>
      <c r="J27" s="84">
        <f>sumif('POST Game Stats'!$R:$R, $A27, 'POST Game Stats'!U:U)</f>
        <v>0</v>
      </c>
      <c r="K27" s="84">
        <f>sumif('POST Game Stats'!$R:$R, $A27, 'POST Game Stats'!V:V)</f>
        <v>0</v>
      </c>
      <c r="L27" s="84">
        <f>sumif('POST Game Stats'!$R:$R, $A27, 'POST Game Stats'!W:W)</f>
        <v>0</v>
      </c>
      <c r="M27" s="84">
        <f>sumif('POST Game Stats'!$R:$R, $A27, 'POST Game Stats'!X:X)</f>
        <v>0</v>
      </c>
      <c r="N27" s="84">
        <f>sumif('POST Game Stats'!$R:$R, $A27, 'POST Game Stats'!Y:Y)</f>
        <v>0</v>
      </c>
      <c r="O27" s="84">
        <v>0.0</v>
      </c>
      <c r="P27" s="84">
        <v>0.0</v>
      </c>
      <c r="Q27" s="84">
        <v>0.0</v>
      </c>
      <c r="R27" s="84">
        <v>0.0</v>
      </c>
      <c r="S27" s="49" t="str">
        <f t="shared" si="23"/>
        <v>-</v>
      </c>
      <c r="T27" s="49" t="str">
        <f t="shared" si="24"/>
        <v>-</v>
      </c>
      <c r="U27" s="50" t="str">
        <f t="shared" si="25"/>
        <v>-</v>
      </c>
      <c r="V27" s="49" t="str">
        <f t="shared" si="26"/>
        <v>-</v>
      </c>
      <c r="W27" s="49" t="str">
        <f t="shared" si="27"/>
        <v>-</v>
      </c>
      <c r="X27" s="51" t="str">
        <f t="shared" si="28"/>
        <v>-</v>
      </c>
      <c r="Y27" s="49" t="str">
        <f t="shared" si="29"/>
        <v>-</v>
      </c>
      <c r="Z27" s="74" t="str">
        <f t="shared" si="30"/>
        <v>-</v>
      </c>
      <c r="AA27" s="53">
        <v>0.0</v>
      </c>
      <c r="AB27" s="62"/>
      <c r="AC27" s="62"/>
      <c r="AD27" s="62"/>
      <c r="AE27" s="62"/>
      <c r="AF27" s="62"/>
      <c r="AG27" s="62"/>
      <c r="AH27" s="62"/>
      <c r="AI27" s="62"/>
    </row>
    <row r="28" ht="15.75" customHeight="1">
      <c r="A28" s="45" t="s">
        <v>77</v>
      </c>
      <c r="B28" s="84">
        <f>COUNTIF('POST Game Stats'!R:R, A28)</f>
        <v>2</v>
      </c>
      <c r="C28" s="85">
        <f t="shared" si="21"/>
        <v>1</v>
      </c>
      <c r="D28" s="84">
        <v>2.0</v>
      </c>
      <c r="E28" s="84">
        <v>1.0</v>
      </c>
      <c r="F28" s="84">
        <v>9.0</v>
      </c>
      <c r="G28" s="97">
        <v>0.0</v>
      </c>
      <c r="H28" s="84">
        <f t="shared" si="22"/>
        <v>9</v>
      </c>
      <c r="I28" s="84">
        <f>sumif('POST Game Stats'!$R:$R, $A28, 'POST Game Stats'!T:T)</f>
        <v>7</v>
      </c>
      <c r="J28" s="84">
        <f>sumif('POST Game Stats'!$R:$R, $A28, 'POST Game Stats'!U:U)</f>
        <v>5</v>
      </c>
      <c r="K28" s="84">
        <f>sumif('POST Game Stats'!$R:$R, $A28, 'POST Game Stats'!V:V)</f>
        <v>5</v>
      </c>
      <c r="L28" s="84">
        <f>sumif('POST Game Stats'!$R:$R, $A28, 'POST Game Stats'!W:W)</f>
        <v>3</v>
      </c>
      <c r="M28" s="84">
        <f>sumif('POST Game Stats'!$R:$R, $A28, 'POST Game Stats'!X:X)</f>
        <v>9</v>
      </c>
      <c r="N28" s="84">
        <f>sumif('POST Game Stats'!$R:$R, $A28, 'POST Game Stats'!Y:Y)</f>
        <v>0</v>
      </c>
      <c r="O28" s="84">
        <v>2.0</v>
      </c>
      <c r="P28" s="84">
        <v>0.0</v>
      </c>
      <c r="Q28" s="84">
        <v>0.0</v>
      </c>
      <c r="R28" s="84">
        <v>1.0</v>
      </c>
      <c r="S28" s="49">
        <f t="shared" si="23"/>
        <v>1.111111111</v>
      </c>
      <c r="T28" s="49">
        <f t="shared" si="24"/>
        <v>3.888888889</v>
      </c>
      <c r="U28" s="50">
        <f t="shared" si="25"/>
        <v>5.444444444</v>
      </c>
      <c r="V28" s="49">
        <f t="shared" si="26"/>
        <v>2.333333333</v>
      </c>
      <c r="W28" s="49">
        <f t="shared" si="27"/>
        <v>7</v>
      </c>
      <c r="X28" s="51">
        <f t="shared" si="28"/>
        <v>9</v>
      </c>
      <c r="Y28" s="49">
        <f t="shared" si="29"/>
        <v>0</v>
      </c>
      <c r="Z28" s="74">
        <f t="shared" si="30"/>
        <v>0.3333333333</v>
      </c>
      <c r="AA28" s="53">
        <v>0.0</v>
      </c>
      <c r="AB28" s="64"/>
      <c r="AC28" s="64"/>
      <c r="AD28" s="65"/>
      <c r="AE28" s="65"/>
      <c r="AF28" s="65"/>
      <c r="AG28" s="65"/>
      <c r="AH28" s="65"/>
      <c r="AI28" s="65"/>
    </row>
    <row r="29" ht="15.75" customHeight="1">
      <c r="A29" s="45" t="s">
        <v>78</v>
      </c>
      <c r="B29" s="84">
        <f>COUNTIF('POST Game Stats'!R:R, A29)</f>
        <v>0</v>
      </c>
      <c r="C29" s="85" t="str">
        <f t="shared" si="21"/>
        <v>-</v>
      </c>
      <c r="D29" s="84">
        <v>0.0</v>
      </c>
      <c r="E29" s="84">
        <v>0.0</v>
      </c>
      <c r="F29" s="84">
        <v>0.0</v>
      </c>
      <c r="G29" s="97">
        <v>0.0</v>
      </c>
      <c r="H29" s="84">
        <f t="shared" si="22"/>
        <v>0</v>
      </c>
      <c r="I29" s="84">
        <f>sumif('POST Game Stats'!$R:$R, $A29, 'POST Game Stats'!T:T)</f>
        <v>0</v>
      </c>
      <c r="J29" s="84">
        <f>sumif('POST Game Stats'!$R:$R, $A29, 'POST Game Stats'!U:U)</f>
        <v>0</v>
      </c>
      <c r="K29" s="84">
        <f>sumif('POST Game Stats'!$R:$R, $A29, 'POST Game Stats'!V:V)</f>
        <v>0</v>
      </c>
      <c r="L29" s="84">
        <f>sumif('POST Game Stats'!$R:$R, $A29, 'POST Game Stats'!W:W)</f>
        <v>0</v>
      </c>
      <c r="M29" s="84">
        <f>sumif('POST Game Stats'!$R:$R, $A29, 'POST Game Stats'!X:X)</f>
        <v>0</v>
      </c>
      <c r="N29" s="84">
        <f>sumif('POST Game Stats'!$R:$R, $A29, 'POST Game Stats'!Y:Y)</f>
        <v>0</v>
      </c>
      <c r="O29" s="84">
        <v>0.0</v>
      </c>
      <c r="P29" s="84">
        <v>0.0</v>
      </c>
      <c r="Q29" s="84">
        <v>0.0</v>
      </c>
      <c r="R29" s="84">
        <v>0.0</v>
      </c>
      <c r="S29" s="49" t="str">
        <f t="shared" si="23"/>
        <v>-</v>
      </c>
      <c r="T29" s="49" t="str">
        <f t="shared" si="24"/>
        <v>-</v>
      </c>
      <c r="U29" s="50" t="str">
        <f t="shared" si="25"/>
        <v>-</v>
      </c>
      <c r="V29" s="49" t="str">
        <f t="shared" si="26"/>
        <v>-</v>
      </c>
      <c r="W29" s="49" t="str">
        <f t="shared" si="27"/>
        <v>-</v>
      </c>
      <c r="X29" s="51" t="str">
        <f t="shared" si="28"/>
        <v>-</v>
      </c>
      <c r="Y29" s="49" t="str">
        <f t="shared" si="29"/>
        <v>-</v>
      </c>
      <c r="Z29" s="74" t="str">
        <f t="shared" si="30"/>
        <v>-</v>
      </c>
      <c r="AA29" s="53">
        <v>0.0</v>
      </c>
      <c r="AB29" s="62"/>
      <c r="AC29" s="62"/>
      <c r="AD29" s="62"/>
      <c r="AE29" s="62"/>
      <c r="AF29" s="62"/>
      <c r="AG29" s="62"/>
      <c r="AH29" s="62"/>
      <c r="AI29" s="62"/>
    </row>
    <row r="30" ht="15.75" customHeight="1">
      <c r="A30" s="45" t="s">
        <v>79</v>
      </c>
      <c r="B30" s="84">
        <f>COUNTIF('POST Game Stats'!R:R, A30)</f>
        <v>0</v>
      </c>
      <c r="C30" s="85" t="str">
        <f t="shared" si="21"/>
        <v>-</v>
      </c>
      <c r="D30" s="84">
        <v>0.0</v>
      </c>
      <c r="E30" s="84">
        <v>0.0</v>
      </c>
      <c r="F30" s="84">
        <v>0.0</v>
      </c>
      <c r="G30" s="97">
        <v>0.0</v>
      </c>
      <c r="H30" s="84">
        <f t="shared" si="22"/>
        <v>0</v>
      </c>
      <c r="I30" s="84">
        <f>sumif('POST Game Stats'!$R:$R, $A30, 'POST Game Stats'!T:T)</f>
        <v>0</v>
      </c>
      <c r="J30" s="84">
        <f>sumif('POST Game Stats'!$R:$R, $A30, 'POST Game Stats'!U:U)</f>
        <v>0</v>
      </c>
      <c r="K30" s="84">
        <f>sumif('POST Game Stats'!$R:$R, $A30, 'POST Game Stats'!V:V)</f>
        <v>0</v>
      </c>
      <c r="L30" s="84">
        <f>sumif('POST Game Stats'!$R:$R, $A30, 'POST Game Stats'!W:W)</f>
        <v>0</v>
      </c>
      <c r="M30" s="84">
        <f>sumif('POST Game Stats'!$R:$R, $A30, 'POST Game Stats'!X:X)</f>
        <v>0</v>
      </c>
      <c r="N30" s="84">
        <f>sumif('POST Game Stats'!$R:$R, $A30, 'POST Game Stats'!Y:Y)</f>
        <v>0</v>
      </c>
      <c r="O30" s="84">
        <v>0.0</v>
      </c>
      <c r="P30" s="84">
        <v>0.0</v>
      </c>
      <c r="Q30" s="84">
        <v>0.0</v>
      </c>
      <c r="R30" s="84">
        <v>0.0</v>
      </c>
      <c r="S30" s="49" t="str">
        <f t="shared" si="23"/>
        <v>-</v>
      </c>
      <c r="T30" s="49" t="str">
        <f t="shared" si="24"/>
        <v>-</v>
      </c>
      <c r="U30" s="50" t="str">
        <f t="shared" si="25"/>
        <v>-</v>
      </c>
      <c r="V30" s="49" t="str">
        <f t="shared" si="26"/>
        <v>-</v>
      </c>
      <c r="W30" s="49" t="str">
        <f t="shared" si="27"/>
        <v>-</v>
      </c>
      <c r="X30" s="51" t="str">
        <f t="shared" si="28"/>
        <v>-</v>
      </c>
      <c r="Y30" s="49" t="str">
        <f t="shared" si="29"/>
        <v>-</v>
      </c>
      <c r="Z30" s="74" t="str">
        <f t="shared" si="30"/>
        <v>-</v>
      </c>
      <c r="AA30" s="53">
        <v>0.0</v>
      </c>
      <c r="AB30" s="64"/>
      <c r="AC30" s="64"/>
      <c r="AD30" s="65"/>
      <c r="AE30" s="65"/>
      <c r="AF30" s="65"/>
      <c r="AG30" s="65"/>
      <c r="AH30" s="65"/>
      <c r="AI30" s="65"/>
    </row>
    <row r="31" ht="15.75" customHeight="1">
      <c r="A31" s="45" t="s">
        <v>80</v>
      </c>
      <c r="B31" s="84">
        <f>COUNTIF('POST Game Stats'!R:R, A31)</f>
        <v>0</v>
      </c>
      <c r="C31" s="85" t="str">
        <f t="shared" si="21"/>
        <v>-</v>
      </c>
      <c r="D31" s="84">
        <v>0.0</v>
      </c>
      <c r="E31" s="84">
        <v>0.0</v>
      </c>
      <c r="F31" s="84">
        <v>0.0</v>
      </c>
      <c r="G31" s="97">
        <v>0.0</v>
      </c>
      <c r="H31" s="84">
        <f t="shared" si="22"/>
        <v>0</v>
      </c>
      <c r="I31" s="84">
        <f>sumif('POST Game Stats'!$R:$R, $A31, 'POST Game Stats'!T:T)</f>
        <v>0</v>
      </c>
      <c r="J31" s="84">
        <f>sumif('POST Game Stats'!$R:$R, $A31, 'POST Game Stats'!U:U)</f>
        <v>0</v>
      </c>
      <c r="K31" s="84">
        <f>sumif('POST Game Stats'!$R:$R, $A31, 'POST Game Stats'!V:V)</f>
        <v>0</v>
      </c>
      <c r="L31" s="84">
        <f>sumif('POST Game Stats'!$R:$R, $A31, 'POST Game Stats'!W:W)</f>
        <v>0</v>
      </c>
      <c r="M31" s="84">
        <f>sumif('POST Game Stats'!$R:$R, $A31, 'POST Game Stats'!X:X)</f>
        <v>0</v>
      </c>
      <c r="N31" s="84">
        <f>sumif('POST Game Stats'!$R:$R, $A31, 'POST Game Stats'!Y:Y)</f>
        <v>0</v>
      </c>
      <c r="O31" s="84">
        <v>0.0</v>
      </c>
      <c r="P31" s="84">
        <v>0.0</v>
      </c>
      <c r="Q31" s="84">
        <v>0.0</v>
      </c>
      <c r="R31" s="84">
        <v>0.0</v>
      </c>
      <c r="S31" s="49" t="str">
        <f t="shared" si="23"/>
        <v>-</v>
      </c>
      <c r="T31" s="49" t="str">
        <f t="shared" si="24"/>
        <v>-</v>
      </c>
      <c r="U31" s="50" t="str">
        <f t="shared" si="25"/>
        <v>-</v>
      </c>
      <c r="V31" s="49" t="str">
        <f t="shared" si="26"/>
        <v>-</v>
      </c>
      <c r="W31" s="49" t="str">
        <f t="shared" si="27"/>
        <v>-</v>
      </c>
      <c r="X31" s="51" t="str">
        <f t="shared" si="28"/>
        <v>-</v>
      </c>
      <c r="Y31" s="49" t="str">
        <f t="shared" si="29"/>
        <v>-</v>
      </c>
      <c r="Z31" s="74" t="str">
        <f t="shared" si="30"/>
        <v>-</v>
      </c>
      <c r="AA31" s="53">
        <v>0.0</v>
      </c>
      <c r="AB31" s="62"/>
      <c r="AC31" s="62"/>
      <c r="AD31" s="62"/>
      <c r="AE31" s="62"/>
      <c r="AF31" s="62"/>
      <c r="AG31" s="62"/>
      <c r="AH31" s="62"/>
      <c r="AI31" s="62"/>
    </row>
    <row r="32" ht="15.75" customHeight="1">
      <c r="A32" s="45" t="s">
        <v>81</v>
      </c>
      <c r="B32" s="84">
        <f>COUNTIF('POST Game Stats'!R:R, A32)</f>
        <v>0</v>
      </c>
      <c r="C32" s="85" t="str">
        <f t="shared" si="21"/>
        <v>-</v>
      </c>
      <c r="D32" s="84">
        <v>0.0</v>
      </c>
      <c r="E32" s="84">
        <v>0.0</v>
      </c>
      <c r="F32" s="84">
        <v>0.0</v>
      </c>
      <c r="G32" s="97">
        <v>0.0</v>
      </c>
      <c r="H32" s="84">
        <f t="shared" si="22"/>
        <v>0</v>
      </c>
      <c r="I32" s="84">
        <f>sumif('POST Game Stats'!$R:$R, $A32, 'POST Game Stats'!T:T)</f>
        <v>0</v>
      </c>
      <c r="J32" s="84">
        <f>sumif('POST Game Stats'!$R:$R, $A32, 'POST Game Stats'!U:U)</f>
        <v>0</v>
      </c>
      <c r="K32" s="84">
        <f>sumif('POST Game Stats'!$R:$R, $A32, 'POST Game Stats'!V:V)</f>
        <v>0</v>
      </c>
      <c r="L32" s="84">
        <f>sumif('POST Game Stats'!$R:$R, $A32, 'POST Game Stats'!W:W)</f>
        <v>0</v>
      </c>
      <c r="M32" s="84">
        <f>sumif('POST Game Stats'!$R:$R, $A32, 'POST Game Stats'!X:X)</f>
        <v>0</v>
      </c>
      <c r="N32" s="84">
        <f>sumif('POST Game Stats'!$R:$R, $A32, 'POST Game Stats'!Y:Y)</f>
        <v>0</v>
      </c>
      <c r="O32" s="84">
        <v>0.0</v>
      </c>
      <c r="P32" s="84">
        <v>0.0</v>
      </c>
      <c r="Q32" s="84">
        <v>0.0</v>
      </c>
      <c r="R32" s="84">
        <v>0.0</v>
      </c>
      <c r="S32" s="49" t="str">
        <f t="shared" si="23"/>
        <v>-</v>
      </c>
      <c r="T32" s="49" t="str">
        <f t="shared" si="24"/>
        <v>-</v>
      </c>
      <c r="U32" s="50" t="str">
        <f t="shared" si="25"/>
        <v>-</v>
      </c>
      <c r="V32" s="49" t="str">
        <f t="shared" si="26"/>
        <v>-</v>
      </c>
      <c r="W32" s="49" t="str">
        <f t="shared" si="27"/>
        <v>-</v>
      </c>
      <c r="X32" s="51" t="str">
        <f t="shared" si="28"/>
        <v>-</v>
      </c>
      <c r="Y32" s="49" t="str">
        <f t="shared" si="29"/>
        <v>-</v>
      </c>
      <c r="Z32" s="74" t="str">
        <f t="shared" si="30"/>
        <v>-</v>
      </c>
      <c r="AA32" s="53">
        <v>0.0</v>
      </c>
      <c r="AB32" s="54"/>
      <c r="AC32" s="54"/>
      <c r="AD32" s="54"/>
      <c r="AE32" s="54"/>
      <c r="AF32" s="54"/>
      <c r="AG32" s="54"/>
      <c r="AH32" s="54"/>
      <c r="AI32" s="54"/>
    </row>
    <row r="33" ht="15.75" customHeight="1">
      <c r="A33" s="45" t="s">
        <v>48</v>
      </c>
      <c r="B33" s="84">
        <f>COUNTIF('POST Game Stats'!R:R, A33)</f>
        <v>0</v>
      </c>
      <c r="C33" s="85" t="str">
        <f t="shared" si="21"/>
        <v>-</v>
      </c>
      <c r="D33" s="84">
        <v>0.0</v>
      </c>
      <c r="E33" s="84">
        <v>0.0</v>
      </c>
      <c r="F33" s="84">
        <v>0.0</v>
      </c>
      <c r="G33" s="97">
        <v>0.0</v>
      </c>
      <c r="H33" s="84">
        <f t="shared" si="22"/>
        <v>0</v>
      </c>
      <c r="I33" s="84">
        <f>sumif('POST Game Stats'!$R:$R, $A33, 'POST Game Stats'!T:T)</f>
        <v>0</v>
      </c>
      <c r="J33" s="84">
        <f>sumif('POST Game Stats'!$R:$R, $A33, 'POST Game Stats'!U:U)</f>
        <v>0</v>
      </c>
      <c r="K33" s="84">
        <f>sumif('POST Game Stats'!$R:$R, $A33, 'POST Game Stats'!V:V)</f>
        <v>0</v>
      </c>
      <c r="L33" s="84">
        <f>sumif('POST Game Stats'!$R:$R, $A33, 'POST Game Stats'!W:W)</f>
        <v>0</v>
      </c>
      <c r="M33" s="84">
        <f>sumif('POST Game Stats'!$R:$R, $A33, 'POST Game Stats'!X:X)</f>
        <v>0</v>
      </c>
      <c r="N33" s="84">
        <f>sumif('POST Game Stats'!$R:$R, $A33, 'POST Game Stats'!Y:Y)</f>
        <v>0</v>
      </c>
      <c r="O33" s="84">
        <v>0.0</v>
      </c>
      <c r="P33" s="84">
        <v>0.0</v>
      </c>
      <c r="Q33" s="84">
        <v>0.0</v>
      </c>
      <c r="R33" s="84">
        <v>0.0</v>
      </c>
      <c r="S33" s="49" t="str">
        <f t="shared" si="23"/>
        <v>-</v>
      </c>
      <c r="T33" s="49" t="str">
        <f t="shared" si="24"/>
        <v>-</v>
      </c>
      <c r="U33" s="50" t="str">
        <f t="shared" si="25"/>
        <v>-</v>
      </c>
      <c r="V33" s="49" t="str">
        <f t="shared" si="26"/>
        <v>-</v>
      </c>
      <c r="W33" s="49" t="str">
        <f t="shared" si="27"/>
        <v>-</v>
      </c>
      <c r="X33" s="51" t="str">
        <f t="shared" si="28"/>
        <v>-</v>
      </c>
      <c r="Y33" s="49" t="str">
        <f t="shared" si="29"/>
        <v>-</v>
      </c>
      <c r="Z33" s="74" t="str">
        <f t="shared" si="30"/>
        <v>-</v>
      </c>
      <c r="AA33" s="53">
        <v>0.0</v>
      </c>
      <c r="AB33" s="62"/>
      <c r="AC33" s="62"/>
      <c r="AD33" s="62"/>
      <c r="AE33" s="62"/>
      <c r="AF33" s="62"/>
      <c r="AG33" s="62"/>
      <c r="AH33" s="62"/>
      <c r="AI33" s="62"/>
    </row>
    <row r="34" ht="15.75" customHeight="1">
      <c r="A34" s="45" t="s">
        <v>49</v>
      </c>
      <c r="B34" s="84">
        <f>COUNTIF('POST Game Stats'!R:R, A34)</f>
        <v>2</v>
      </c>
      <c r="C34" s="85" t="str">
        <f t="shared" si="21"/>
        <v>-</v>
      </c>
      <c r="D34" s="84">
        <v>0.0</v>
      </c>
      <c r="E34" s="84">
        <v>0.0</v>
      </c>
      <c r="F34" s="84">
        <v>4.0</v>
      </c>
      <c r="G34" s="97">
        <f>1/3</f>
        <v>0.3333333333</v>
      </c>
      <c r="H34" s="84">
        <f t="shared" si="22"/>
        <v>4.1</v>
      </c>
      <c r="I34" s="84">
        <f>sumif('POST Game Stats'!$R:$R, $A34, 'POST Game Stats'!T:T)</f>
        <v>3</v>
      </c>
      <c r="J34" s="84">
        <f>sumif('POST Game Stats'!$R:$R, $A34, 'POST Game Stats'!U:U)</f>
        <v>3</v>
      </c>
      <c r="K34" s="84">
        <f>sumif('POST Game Stats'!$R:$R, $A34, 'POST Game Stats'!V:V)</f>
        <v>2</v>
      </c>
      <c r="L34" s="84">
        <f>sumif('POST Game Stats'!$R:$R, $A34, 'POST Game Stats'!W:W)</f>
        <v>2</v>
      </c>
      <c r="M34" s="84">
        <f>sumif('POST Game Stats'!$R:$R, $A34, 'POST Game Stats'!X:X)</f>
        <v>4</v>
      </c>
      <c r="N34" s="84">
        <f>sumif('POST Game Stats'!$R:$R, $A34, 'POST Game Stats'!Y:Y)</f>
        <v>0</v>
      </c>
      <c r="O34" s="84">
        <v>0.0</v>
      </c>
      <c r="P34" s="84">
        <v>0.0</v>
      </c>
      <c r="Q34" s="84">
        <v>2.0</v>
      </c>
      <c r="R34" s="84">
        <v>0.0</v>
      </c>
      <c r="S34" s="49">
        <f t="shared" si="23"/>
        <v>1.153846154</v>
      </c>
      <c r="T34" s="49">
        <f t="shared" si="24"/>
        <v>3.230769231</v>
      </c>
      <c r="U34" s="50">
        <f t="shared" si="25"/>
        <v>4.846153846</v>
      </c>
      <c r="V34" s="49">
        <f t="shared" si="26"/>
        <v>3.230769231</v>
      </c>
      <c r="W34" s="49">
        <f t="shared" si="27"/>
        <v>6.461538462</v>
      </c>
      <c r="X34" s="51">
        <f t="shared" si="28"/>
        <v>8.307692308</v>
      </c>
      <c r="Y34" s="49">
        <f t="shared" si="29"/>
        <v>0</v>
      </c>
      <c r="Z34" s="74">
        <f t="shared" si="30"/>
        <v>0.5</v>
      </c>
      <c r="AA34" s="53">
        <v>0.0</v>
      </c>
      <c r="AB34" s="64"/>
      <c r="AC34" s="64"/>
      <c r="AD34" s="65"/>
      <c r="AE34" s="65"/>
      <c r="AF34" s="65"/>
      <c r="AG34" s="65"/>
      <c r="AH34" s="65"/>
      <c r="AI34" s="65"/>
    </row>
    <row r="35" ht="15.75" customHeight="1">
      <c r="A35" s="45" t="s">
        <v>50</v>
      </c>
      <c r="B35" s="84">
        <f>COUNTIF('POST Game Stats'!R:R, A35)</f>
        <v>1</v>
      </c>
      <c r="C35" s="85" t="str">
        <f t="shared" si="21"/>
        <v>-</v>
      </c>
      <c r="D35" s="84">
        <v>0.0</v>
      </c>
      <c r="E35" s="84">
        <v>0.0</v>
      </c>
      <c r="F35" s="84">
        <v>1.0</v>
      </c>
      <c r="G35" s="97">
        <v>0.0</v>
      </c>
      <c r="H35" s="84">
        <f t="shared" si="22"/>
        <v>1</v>
      </c>
      <c r="I35" s="84">
        <f>sumif('POST Game Stats'!$R:$R, $A35, 'POST Game Stats'!T:T)</f>
        <v>0</v>
      </c>
      <c r="J35" s="84">
        <f>sumif('POST Game Stats'!$R:$R, $A35, 'POST Game Stats'!U:U)</f>
        <v>0</v>
      </c>
      <c r="K35" s="84">
        <f>sumif('POST Game Stats'!$R:$R, $A35, 'POST Game Stats'!V:V)</f>
        <v>0</v>
      </c>
      <c r="L35" s="84">
        <f>sumif('POST Game Stats'!$R:$R, $A35, 'POST Game Stats'!W:W)</f>
        <v>1</v>
      </c>
      <c r="M35" s="84">
        <f>sumif('POST Game Stats'!$R:$R, $A35, 'POST Game Stats'!X:X)</f>
        <v>1</v>
      </c>
      <c r="N35" s="84">
        <f>sumif('POST Game Stats'!$R:$R, $A35, 'POST Game Stats'!Y:Y)</f>
        <v>0</v>
      </c>
      <c r="O35" s="84">
        <v>0.0</v>
      </c>
      <c r="P35" s="84">
        <v>0.0</v>
      </c>
      <c r="Q35" s="84">
        <v>0.0</v>
      </c>
      <c r="R35" s="84">
        <v>0.0</v>
      </c>
      <c r="S35" s="49">
        <f t="shared" si="23"/>
        <v>1</v>
      </c>
      <c r="T35" s="49">
        <f t="shared" si="24"/>
        <v>0</v>
      </c>
      <c r="U35" s="50">
        <f t="shared" si="25"/>
        <v>0</v>
      </c>
      <c r="V35" s="49">
        <f t="shared" si="26"/>
        <v>7</v>
      </c>
      <c r="W35" s="49">
        <f t="shared" si="27"/>
        <v>7</v>
      </c>
      <c r="X35" s="51">
        <f t="shared" si="28"/>
        <v>9</v>
      </c>
      <c r="Y35" s="49">
        <f t="shared" si="29"/>
        <v>0</v>
      </c>
      <c r="Z35" s="74">
        <f t="shared" si="30"/>
        <v>1</v>
      </c>
      <c r="AA35" s="53">
        <v>0.0</v>
      </c>
      <c r="AB35" s="62"/>
      <c r="AC35" s="62"/>
      <c r="AD35" s="62"/>
      <c r="AE35" s="62"/>
      <c r="AF35" s="62"/>
      <c r="AG35" s="62"/>
      <c r="AH35" s="62"/>
      <c r="AI35" s="62"/>
    </row>
    <row r="36" ht="15.75" customHeight="1">
      <c r="A36" s="45" t="s">
        <v>82</v>
      </c>
      <c r="B36" s="84">
        <f>COUNTIF('POST Game Stats'!R:R, A36)</f>
        <v>0</v>
      </c>
      <c r="C36" s="85" t="str">
        <f t="shared" si="21"/>
        <v>-</v>
      </c>
      <c r="D36" s="84">
        <v>0.0</v>
      </c>
      <c r="E36" s="84">
        <v>0.0</v>
      </c>
      <c r="F36" s="84">
        <v>0.0</v>
      </c>
      <c r="G36" s="97">
        <v>0.0</v>
      </c>
      <c r="H36" s="84">
        <f t="shared" si="22"/>
        <v>0</v>
      </c>
      <c r="I36" s="84">
        <f>sumif('POST Game Stats'!$R:$R, $A36, 'POST Game Stats'!T:T)</f>
        <v>0</v>
      </c>
      <c r="J36" s="84">
        <f>sumif('POST Game Stats'!$R:$R, $A36, 'POST Game Stats'!U:U)</f>
        <v>0</v>
      </c>
      <c r="K36" s="84">
        <f>sumif('POST Game Stats'!$R:$R, $A36, 'POST Game Stats'!V:V)</f>
        <v>0</v>
      </c>
      <c r="L36" s="84">
        <f>sumif('POST Game Stats'!$R:$R, $A36, 'POST Game Stats'!W:W)</f>
        <v>0</v>
      </c>
      <c r="M36" s="84">
        <f>sumif('POST Game Stats'!$R:$R, $A36, 'POST Game Stats'!X:X)</f>
        <v>0</v>
      </c>
      <c r="N36" s="84">
        <f>sumif('POST Game Stats'!$R:$R, $A36, 'POST Game Stats'!Y:Y)</f>
        <v>0</v>
      </c>
      <c r="O36" s="84">
        <v>0.0</v>
      </c>
      <c r="P36" s="84">
        <v>0.0</v>
      </c>
      <c r="Q36" s="84">
        <v>0.0</v>
      </c>
      <c r="R36" s="84">
        <v>0.0</v>
      </c>
      <c r="S36" s="49" t="str">
        <f t="shared" si="23"/>
        <v>-</v>
      </c>
      <c r="T36" s="49" t="str">
        <f t="shared" si="24"/>
        <v>-</v>
      </c>
      <c r="U36" s="50" t="str">
        <f t="shared" si="25"/>
        <v>-</v>
      </c>
      <c r="V36" s="49" t="str">
        <f t="shared" si="26"/>
        <v>-</v>
      </c>
      <c r="W36" s="49" t="str">
        <f t="shared" si="27"/>
        <v>-</v>
      </c>
      <c r="X36" s="51" t="str">
        <f t="shared" si="28"/>
        <v>-</v>
      </c>
      <c r="Y36" s="49" t="str">
        <f t="shared" si="29"/>
        <v>-</v>
      </c>
      <c r="Z36" s="74" t="str">
        <f t="shared" si="30"/>
        <v>-</v>
      </c>
      <c r="AA36" s="53">
        <v>0.0</v>
      </c>
      <c r="AB36" s="64"/>
      <c r="AC36" s="64"/>
      <c r="AD36" s="65"/>
      <c r="AE36" s="65"/>
      <c r="AF36" s="65"/>
      <c r="AG36" s="65"/>
      <c r="AH36" s="65"/>
      <c r="AI36" s="65"/>
    </row>
    <row r="37" ht="15.75" customHeight="1">
      <c r="A37" s="45" t="s">
        <v>51</v>
      </c>
      <c r="B37" s="84">
        <f>COUNTIF('POST Game Stats'!R:R, A37)</f>
        <v>0</v>
      </c>
      <c r="C37" s="85" t="str">
        <f t="shared" si="21"/>
        <v>-</v>
      </c>
      <c r="D37" s="84">
        <v>0.0</v>
      </c>
      <c r="E37" s="84">
        <v>0.0</v>
      </c>
      <c r="F37" s="84">
        <v>0.0</v>
      </c>
      <c r="G37" s="97">
        <v>0.0</v>
      </c>
      <c r="H37" s="84">
        <f t="shared" si="22"/>
        <v>0</v>
      </c>
      <c r="I37" s="84">
        <f>sumif('POST Game Stats'!$R:$R, $A37, 'POST Game Stats'!T:T)</f>
        <v>0</v>
      </c>
      <c r="J37" s="84">
        <f>sumif('POST Game Stats'!$R:$R, $A37, 'POST Game Stats'!U:U)</f>
        <v>0</v>
      </c>
      <c r="K37" s="84">
        <f>sumif('POST Game Stats'!$R:$R, $A37, 'POST Game Stats'!V:V)</f>
        <v>0</v>
      </c>
      <c r="L37" s="84">
        <f>sumif('POST Game Stats'!$R:$R, $A37, 'POST Game Stats'!W:W)</f>
        <v>0</v>
      </c>
      <c r="M37" s="84">
        <f>sumif('POST Game Stats'!$R:$R, $A37, 'POST Game Stats'!X:X)</f>
        <v>0</v>
      </c>
      <c r="N37" s="84">
        <f>sumif('POST Game Stats'!$R:$R, $A37, 'POST Game Stats'!Y:Y)</f>
        <v>0</v>
      </c>
      <c r="O37" s="84">
        <v>0.0</v>
      </c>
      <c r="P37" s="84">
        <v>0.0</v>
      </c>
      <c r="Q37" s="84">
        <v>0.0</v>
      </c>
      <c r="R37" s="84">
        <v>0.0</v>
      </c>
      <c r="S37" s="49" t="str">
        <f t="shared" si="23"/>
        <v>-</v>
      </c>
      <c r="T37" s="49" t="str">
        <f t="shared" si="24"/>
        <v>-</v>
      </c>
      <c r="U37" s="50" t="str">
        <f t="shared" si="25"/>
        <v>-</v>
      </c>
      <c r="V37" s="49" t="str">
        <f t="shared" si="26"/>
        <v>-</v>
      </c>
      <c r="W37" s="49" t="str">
        <f t="shared" si="27"/>
        <v>-</v>
      </c>
      <c r="X37" s="51" t="str">
        <f t="shared" si="28"/>
        <v>-</v>
      </c>
      <c r="Y37" s="49" t="str">
        <f t="shared" si="29"/>
        <v>-</v>
      </c>
      <c r="Z37" s="74" t="str">
        <f t="shared" si="30"/>
        <v>-</v>
      </c>
      <c r="AA37" s="53">
        <v>0.0</v>
      </c>
      <c r="AB37" s="67"/>
      <c r="AC37" s="67"/>
      <c r="AD37" s="62"/>
      <c r="AE37" s="62"/>
      <c r="AF37" s="62"/>
      <c r="AG37" s="62"/>
      <c r="AH37" s="62"/>
      <c r="AI37" s="62"/>
    </row>
    <row r="38" ht="15.75" customHeight="1">
      <c r="A38" s="45" t="s">
        <v>83</v>
      </c>
      <c r="B38" s="84">
        <f>COUNTIF('POST Game Stats'!R:R, A38)</f>
        <v>2</v>
      </c>
      <c r="C38" s="85">
        <f t="shared" si="21"/>
        <v>0.5</v>
      </c>
      <c r="D38" s="84">
        <v>2.0</v>
      </c>
      <c r="E38" s="84">
        <v>0.0</v>
      </c>
      <c r="F38" s="84">
        <v>10.0</v>
      </c>
      <c r="G38" s="97">
        <v>0.0</v>
      </c>
      <c r="H38" s="84">
        <f t="shared" si="22"/>
        <v>10</v>
      </c>
      <c r="I38" s="84">
        <f>sumif('POST Game Stats'!$R:$R, $A38, 'POST Game Stats'!T:T)</f>
        <v>9</v>
      </c>
      <c r="J38" s="84">
        <f>sumif('POST Game Stats'!$R:$R, $A38, 'POST Game Stats'!U:U)</f>
        <v>4</v>
      </c>
      <c r="K38" s="84">
        <f>sumif('POST Game Stats'!$R:$R, $A38, 'POST Game Stats'!V:V)</f>
        <v>3</v>
      </c>
      <c r="L38" s="84">
        <f>sumif('POST Game Stats'!$R:$R, $A38, 'POST Game Stats'!W:W)</f>
        <v>5</v>
      </c>
      <c r="M38" s="84">
        <f>sumif('POST Game Stats'!$R:$R, $A38, 'POST Game Stats'!X:X)</f>
        <v>18</v>
      </c>
      <c r="N38" s="84">
        <f>sumif('POST Game Stats'!$R:$R, $A38, 'POST Game Stats'!Y:Y)</f>
        <v>0</v>
      </c>
      <c r="O38" s="84">
        <v>1.0</v>
      </c>
      <c r="P38" s="84">
        <v>1.0</v>
      </c>
      <c r="Q38" s="84">
        <v>0.0</v>
      </c>
      <c r="R38" s="84">
        <v>0.0</v>
      </c>
      <c r="S38" s="49">
        <f t="shared" si="23"/>
        <v>1.4</v>
      </c>
      <c r="T38" s="49">
        <f t="shared" si="24"/>
        <v>2.1</v>
      </c>
      <c r="U38" s="50">
        <f t="shared" si="25"/>
        <v>6.3</v>
      </c>
      <c r="V38" s="49">
        <f t="shared" si="26"/>
        <v>3.5</v>
      </c>
      <c r="W38" s="49">
        <f t="shared" si="27"/>
        <v>12.6</v>
      </c>
      <c r="X38" s="51">
        <f t="shared" si="28"/>
        <v>16.2</v>
      </c>
      <c r="Y38" s="49">
        <f t="shared" si="29"/>
        <v>0</v>
      </c>
      <c r="Z38" s="74">
        <f t="shared" si="30"/>
        <v>0.2777777778</v>
      </c>
      <c r="AA38" s="53">
        <v>0.0</v>
      </c>
      <c r="AB38" s="67"/>
      <c r="AC38" s="67"/>
      <c r="AD38" s="62"/>
      <c r="AE38" s="62"/>
      <c r="AF38" s="62"/>
      <c r="AG38" s="62"/>
      <c r="AH38" s="62"/>
      <c r="AI38" s="62"/>
    </row>
    <row r="39" ht="15.75" customHeight="1">
      <c r="A39" s="4" t="s">
        <v>54</v>
      </c>
      <c r="B39" s="4"/>
      <c r="C39" s="34">
        <f>iferror(O39/(O39+P39), "-")</f>
        <v>0.75</v>
      </c>
      <c r="D39" s="4">
        <f t="shared" ref="D39:G39" si="31">SUM(D26:D38)</f>
        <v>4</v>
      </c>
      <c r="E39" s="4">
        <f t="shared" si="31"/>
        <v>1</v>
      </c>
      <c r="F39" s="4">
        <f t="shared" si="31"/>
        <v>25</v>
      </c>
      <c r="G39" s="35">
        <f t="shared" si="31"/>
        <v>1</v>
      </c>
      <c r="H39" s="68">
        <f>F39+ifs(G39=1/3, 0.1, G39=2/3, 0.2, G39=0, 0, G39=1, 1)</f>
        <v>26</v>
      </c>
      <c r="I39" s="4">
        <f t="shared" ref="I39:R39" si="32">SUM(I26:I38)</f>
        <v>20</v>
      </c>
      <c r="J39" s="4">
        <f t="shared" si="32"/>
        <v>13</v>
      </c>
      <c r="K39" s="4">
        <f t="shared" si="32"/>
        <v>11</v>
      </c>
      <c r="L39" s="4">
        <f t="shared" si="32"/>
        <v>12</v>
      </c>
      <c r="M39" s="4">
        <f t="shared" si="32"/>
        <v>34</v>
      </c>
      <c r="N39" s="4">
        <f t="shared" si="32"/>
        <v>0</v>
      </c>
      <c r="O39" s="4">
        <f t="shared" si="32"/>
        <v>3</v>
      </c>
      <c r="P39" s="4">
        <f t="shared" si="32"/>
        <v>1</v>
      </c>
      <c r="Q39" s="4">
        <f t="shared" si="32"/>
        <v>2</v>
      </c>
      <c r="R39" s="4">
        <f t="shared" si="32"/>
        <v>1</v>
      </c>
      <c r="S39" s="33">
        <f>iferror((L39+I39)/(F39+G39), 0)</f>
        <v>1.230769231</v>
      </c>
      <c r="T39" s="33">
        <f>iferror((K39/(F39+G39))*7, 0)</f>
        <v>2.961538462</v>
      </c>
      <c r="U39" s="33">
        <f>iferror(7*(I39/(F39+G39)), 0)</f>
        <v>5.384615385</v>
      </c>
      <c r="V39" s="33">
        <f>iferror(7*(L39/(F39+G39)), 0)</f>
        <v>3.230769231</v>
      </c>
      <c r="W39" s="33">
        <f>iferror(7*(M39/(F39+G39)), 0)</f>
        <v>9.153846154</v>
      </c>
      <c r="X39" s="69">
        <f>iferror(9*(M39/(F39+G39)), 0)</f>
        <v>11.76923077</v>
      </c>
      <c r="Y39" s="33">
        <f>iferror(7*(N39/(F39+G39)), 0)</f>
        <v>0</v>
      </c>
      <c r="Z39" s="33">
        <f>iferror(L39/M39, 0)</f>
        <v>0.3529411765</v>
      </c>
      <c r="AA39" s="4"/>
      <c r="AB39" s="4"/>
      <c r="AC39" s="4"/>
      <c r="AD39" s="5"/>
      <c r="AE39" s="5"/>
      <c r="AF39" s="5"/>
      <c r="AG39" s="5"/>
      <c r="AH39" s="5"/>
      <c r="AI39" s="5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4"/>
      <c r="AC40" s="44"/>
      <c r="AD40" s="44"/>
      <c r="AE40" s="44"/>
      <c r="AF40" s="44"/>
      <c r="AG40" s="44"/>
      <c r="AH40" s="44"/>
      <c r="AI40" s="44"/>
    </row>
    <row r="41" ht="15.75" customHeight="1">
      <c r="A41" s="39"/>
      <c r="B41" s="39"/>
      <c r="C41" s="39"/>
      <c r="D41" s="70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44"/>
      <c r="AC41" s="44"/>
      <c r="AD41" s="44"/>
      <c r="AE41" s="44"/>
      <c r="AF41" s="44"/>
      <c r="AG41" s="44"/>
      <c r="AH41" s="44"/>
      <c r="AI41" s="44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44"/>
      <c r="AC42" s="44"/>
      <c r="AD42" s="44"/>
      <c r="AE42" s="44"/>
      <c r="AF42" s="44"/>
      <c r="AG42" s="44"/>
      <c r="AH42" s="44"/>
      <c r="AI42" s="44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44"/>
      <c r="AC43" s="44"/>
      <c r="AD43" s="44"/>
      <c r="AE43" s="44"/>
      <c r="AF43" s="44"/>
      <c r="AG43" s="44"/>
      <c r="AH43" s="44"/>
      <c r="AI43" s="44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44"/>
      <c r="AC44" s="44"/>
      <c r="AD44" s="44"/>
      <c r="AE44" s="44"/>
      <c r="AF44" s="44"/>
      <c r="AG44" s="44"/>
      <c r="AH44" s="44"/>
      <c r="AI44" s="44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4"/>
      <c r="AC45" s="44"/>
      <c r="AD45" s="44"/>
      <c r="AE45" s="44"/>
      <c r="AF45" s="44"/>
      <c r="AG45" s="44"/>
      <c r="AH45" s="44"/>
      <c r="AI45" s="44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44"/>
      <c r="AC46" s="44"/>
      <c r="AD46" s="44"/>
      <c r="AE46" s="44"/>
      <c r="AF46" s="44"/>
      <c r="AG46" s="44"/>
      <c r="AH46" s="44"/>
      <c r="AI46" s="44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4"/>
      <c r="AC47" s="44"/>
      <c r="AD47" s="44"/>
      <c r="AE47" s="44"/>
      <c r="AF47" s="44"/>
      <c r="AG47" s="44"/>
      <c r="AH47" s="44"/>
      <c r="AI47" s="44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44"/>
      <c r="AC48" s="44"/>
      <c r="AD48" s="44"/>
      <c r="AE48" s="44"/>
      <c r="AF48" s="44"/>
      <c r="AG48" s="44"/>
      <c r="AH48" s="44"/>
      <c r="AI48" s="44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44"/>
      <c r="AC49" s="44"/>
      <c r="AD49" s="44"/>
      <c r="AE49" s="44"/>
      <c r="AF49" s="44"/>
      <c r="AG49" s="44"/>
      <c r="AH49" s="44"/>
      <c r="AI49" s="44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4"/>
      <c r="AC50" s="44"/>
      <c r="AD50" s="44"/>
      <c r="AE50" s="44"/>
      <c r="AF50" s="44"/>
      <c r="AG50" s="44"/>
      <c r="AH50" s="44"/>
      <c r="AI50" s="44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44"/>
      <c r="AC51" s="44"/>
      <c r="AD51" s="44"/>
      <c r="AE51" s="44"/>
      <c r="AF51" s="44"/>
      <c r="AG51" s="44"/>
      <c r="AH51" s="44"/>
      <c r="AI51" s="44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44"/>
      <c r="AC52" s="44"/>
      <c r="AD52" s="44"/>
      <c r="AE52" s="44"/>
      <c r="AF52" s="44"/>
      <c r="AG52" s="44"/>
      <c r="AH52" s="44"/>
      <c r="AI52" s="44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44"/>
      <c r="AC53" s="44"/>
      <c r="AD53" s="44"/>
      <c r="AE53" s="44"/>
      <c r="AF53" s="44"/>
      <c r="AG53" s="44"/>
      <c r="AH53" s="44"/>
      <c r="AI53" s="44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44"/>
      <c r="AC54" s="44"/>
      <c r="AD54" s="44"/>
      <c r="AE54" s="44"/>
      <c r="AF54" s="44"/>
      <c r="AG54" s="44"/>
      <c r="AH54" s="44"/>
      <c r="AI54" s="44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44"/>
      <c r="AC55" s="44"/>
      <c r="AD55" s="44"/>
      <c r="AE55" s="44"/>
      <c r="AF55" s="44"/>
      <c r="AG55" s="44"/>
      <c r="AH55" s="44"/>
      <c r="AI55" s="44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44"/>
      <c r="AC56" s="44"/>
      <c r="AD56" s="44"/>
      <c r="AE56" s="44"/>
      <c r="AF56" s="44"/>
      <c r="AG56" s="44"/>
      <c r="AH56" s="44"/>
      <c r="AI56" s="44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4"/>
      <c r="AC57" s="44"/>
      <c r="AD57" s="44"/>
      <c r="AE57" s="44"/>
      <c r="AF57" s="44"/>
      <c r="AG57" s="44"/>
      <c r="AH57" s="44"/>
      <c r="AI57" s="44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44"/>
      <c r="AC58" s="44"/>
      <c r="AD58" s="44"/>
      <c r="AE58" s="44"/>
      <c r="AF58" s="44"/>
      <c r="AG58" s="44"/>
      <c r="AH58" s="44"/>
      <c r="AI58" s="44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44"/>
      <c r="AC59" s="44"/>
      <c r="AD59" s="44"/>
      <c r="AE59" s="44"/>
      <c r="AF59" s="44"/>
      <c r="AG59" s="44"/>
      <c r="AH59" s="44"/>
      <c r="AI59" s="44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44"/>
      <c r="AC60" s="44"/>
      <c r="AD60" s="44"/>
      <c r="AE60" s="44"/>
      <c r="AF60" s="44"/>
      <c r="AG60" s="44"/>
      <c r="AH60" s="44"/>
      <c r="AI60" s="44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44"/>
      <c r="AC61" s="44"/>
      <c r="AD61" s="44"/>
      <c r="AE61" s="44"/>
      <c r="AF61" s="44"/>
      <c r="AG61" s="44"/>
      <c r="AH61" s="44"/>
      <c r="AI61" s="44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44"/>
      <c r="AC62" s="44"/>
      <c r="AD62" s="44"/>
      <c r="AE62" s="44"/>
      <c r="AF62" s="44"/>
      <c r="AG62" s="44"/>
      <c r="AH62" s="44"/>
      <c r="AI62" s="44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44"/>
      <c r="AC63" s="44"/>
      <c r="AD63" s="44"/>
      <c r="AE63" s="44"/>
      <c r="AF63" s="44"/>
      <c r="AG63" s="44"/>
      <c r="AH63" s="44"/>
      <c r="AI63" s="44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44"/>
      <c r="AC64" s="44"/>
      <c r="AD64" s="44"/>
      <c r="AE64" s="44"/>
      <c r="AF64" s="44"/>
      <c r="AG64" s="44"/>
      <c r="AH64" s="44"/>
      <c r="AI64" s="44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44"/>
      <c r="AC65" s="44"/>
      <c r="AD65" s="44"/>
      <c r="AE65" s="44"/>
      <c r="AF65" s="44"/>
      <c r="AG65" s="44"/>
      <c r="AH65" s="44"/>
      <c r="AI65" s="44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44"/>
      <c r="AC66" s="44"/>
      <c r="AD66" s="44"/>
      <c r="AE66" s="44"/>
      <c r="AF66" s="44"/>
      <c r="AG66" s="44"/>
      <c r="AH66" s="44"/>
      <c r="AI66" s="44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44"/>
      <c r="AC67" s="44"/>
      <c r="AD67" s="44"/>
      <c r="AE67" s="44"/>
      <c r="AF67" s="44"/>
      <c r="AG67" s="44"/>
      <c r="AH67" s="44"/>
      <c r="AI67" s="44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44"/>
      <c r="AC68" s="44"/>
      <c r="AD68" s="44"/>
      <c r="AE68" s="44"/>
      <c r="AF68" s="44"/>
      <c r="AG68" s="44"/>
      <c r="AH68" s="44"/>
      <c r="AI68" s="44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44"/>
      <c r="AC69" s="44"/>
      <c r="AD69" s="44"/>
      <c r="AE69" s="44"/>
      <c r="AF69" s="44"/>
      <c r="AG69" s="44"/>
      <c r="AH69" s="44"/>
      <c r="AI69" s="44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44"/>
      <c r="AC70" s="44"/>
      <c r="AD70" s="44"/>
      <c r="AE70" s="44"/>
      <c r="AF70" s="44"/>
      <c r="AG70" s="44"/>
      <c r="AH70" s="44"/>
      <c r="AI70" s="44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44"/>
      <c r="AC71" s="44"/>
      <c r="AD71" s="44"/>
      <c r="AE71" s="44"/>
      <c r="AF71" s="44"/>
      <c r="AG71" s="44"/>
      <c r="AH71" s="44"/>
      <c r="AI71" s="44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44"/>
      <c r="AC72" s="44"/>
      <c r="AD72" s="44"/>
      <c r="AE72" s="44"/>
      <c r="AF72" s="44"/>
      <c r="AG72" s="44"/>
      <c r="AH72" s="44"/>
      <c r="AI72" s="44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44"/>
      <c r="AC73" s="44"/>
      <c r="AD73" s="44"/>
      <c r="AE73" s="44"/>
      <c r="AF73" s="44"/>
      <c r="AG73" s="44"/>
      <c r="AH73" s="44"/>
      <c r="AI73" s="44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44"/>
      <c r="AC74" s="44"/>
      <c r="AD74" s="44"/>
      <c r="AE74" s="44"/>
      <c r="AF74" s="44"/>
      <c r="AG74" s="44"/>
      <c r="AH74" s="44"/>
      <c r="AI74" s="44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44"/>
      <c r="AC75" s="44"/>
      <c r="AD75" s="44"/>
      <c r="AE75" s="44"/>
      <c r="AF75" s="44"/>
      <c r="AG75" s="44"/>
      <c r="AH75" s="44"/>
      <c r="AI75" s="44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44"/>
      <c r="AC76" s="44"/>
      <c r="AD76" s="44"/>
      <c r="AE76" s="44"/>
      <c r="AF76" s="44"/>
      <c r="AG76" s="44"/>
      <c r="AH76" s="44"/>
      <c r="AI76" s="44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44"/>
      <c r="AC77" s="44"/>
      <c r="AD77" s="44"/>
      <c r="AE77" s="44"/>
      <c r="AF77" s="44"/>
      <c r="AG77" s="44"/>
      <c r="AH77" s="44"/>
      <c r="AI77" s="44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44"/>
      <c r="AC78" s="44"/>
      <c r="AD78" s="44"/>
      <c r="AE78" s="44"/>
      <c r="AF78" s="44"/>
      <c r="AG78" s="44"/>
      <c r="AH78" s="44"/>
      <c r="AI78" s="44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44"/>
      <c r="AC79" s="44"/>
      <c r="AD79" s="44"/>
      <c r="AE79" s="44"/>
      <c r="AF79" s="44"/>
      <c r="AG79" s="44"/>
      <c r="AH79" s="44"/>
      <c r="AI79" s="44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44"/>
      <c r="AC80" s="44"/>
      <c r="AD80" s="44"/>
      <c r="AE80" s="44"/>
      <c r="AF80" s="44"/>
      <c r="AG80" s="44"/>
      <c r="AH80" s="44"/>
      <c r="AI80" s="44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44"/>
      <c r="AC81" s="44"/>
      <c r="AD81" s="44"/>
      <c r="AE81" s="44"/>
      <c r="AF81" s="44"/>
      <c r="AG81" s="44"/>
      <c r="AH81" s="44"/>
      <c r="AI81" s="44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44"/>
      <c r="AC82" s="44"/>
      <c r="AD82" s="44"/>
      <c r="AE82" s="44"/>
      <c r="AF82" s="44"/>
      <c r="AG82" s="44"/>
      <c r="AH82" s="44"/>
      <c r="AI82" s="44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44"/>
      <c r="AC83" s="44"/>
      <c r="AD83" s="44"/>
      <c r="AE83" s="44"/>
      <c r="AF83" s="44"/>
      <c r="AG83" s="44"/>
      <c r="AH83" s="44"/>
      <c r="AI83" s="44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44"/>
      <c r="AC84" s="44"/>
      <c r="AD84" s="44"/>
      <c r="AE84" s="44"/>
      <c r="AF84" s="44"/>
      <c r="AG84" s="44"/>
      <c r="AH84" s="44"/>
      <c r="AI84" s="44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44"/>
      <c r="AC85" s="44"/>
      <c r="AD85" s="44"/>
      <c r="AE85" s="44"/>
      <c r="AF85" s="44"/>
      <c r="AG85" s="44"/>
      <c r="AH85" s="44"/>
      <c r="AI85" s="44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44"/>
      <c r="AC86" s="44"/>
      <c r="AD86" s="44"/>
      <c r="AE86" s="44"/>
      <c r="AF86" s="44"/>
      <c r="AG86" s="44"/>
      <c r="AH86" s="44"/>
      <c r="AI86" s="44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44"/>
      <c r="AC87" s="44"/>
      <c r="AD87" s="44"/>
      <c r="AE87" s="44"/>
      <c r="AF87" s="44"/>
      <c r="AG87" s="44"/>
      <c r="AH87" s="44"/>
      <c r="AI87" s="44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44"/>
      <c r="AC88" s="44"/>
      <c r="AD88" s="44"/>
      <c r="AE88" s="44"/>
      <c r="AF88" s="44"/>
      <c r="AG88" s="44"/>
      <c r="AH88" s="44"/>
      <c r="AI88" s="44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44"/>
      <c r="AC89" s="44"/>
      <c r="AD89" s="44"/>
      <c r="AE89" s="44"/>
      <c r="AF89" s="44"/>
      <c r="AG89" s="44"/>
      <c r="AH89" s="44"/>
      <c r="AI89" s="44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44"/>
      <c r="AC90" s="44"/>
      <c r="AD90" s="44"/>
      <c r="AE90" s="44"/>
      <c r="AF90" s="44"/>
      <c r="AG90" s="44"/>
      <c r="AH90" s="44"/>
      <c r="AI90" s="44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44"/>
      <c r="AC91" s="44"/>
      <c r="AD91" s="44"/>
      <c r="AE91" s="44"/>
      <c r="AF91" s="44"/>
      <c r="AG91" s="44"/>
      <c r="AH91" s="44"/>
      <c r="AI91" s="44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44"/>
      <c r="AC92" s="44"/>
      <c r="AD92" s="44"/>
      <c r="AE92" s="44"/>
      <c r="AF92" s="44"/>
      <c r="AG92" s="44"/>
      <c r="AH92" s="44"/>
      <c r="AI92" s="44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44"/>
      <c r="AC93" s="44"/>
      <c r="AD93" s="44"/>
      <c r="AE93" s="44"/>
      <c r="AF93" s="44"/>
      <c r="AG93" s="44"/>
      <c r="AH93" s="44"/>
      <c r="AI93" s="44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44"/>
      <c r="AC94" s="44"/>
      <c r="AD94" s="44"/>
      <c r="AE94" s="44"/>
      <c r="AF94" s="44"/>
      <c r="AG94" s="44"/>
      <c r="AH94" s="44"/>
      <c r="AI94" s="44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44"/>
      <c r="AC95" s="44"/>
      <c r="AD95" s="44"/>
      <c r="AE95" s="44"/>
      <c r="AF95" s="44"/>
      <c r="AG95" s="44"/>
      <c r="AH95" s="44"/>
      <c r="AI95" s="44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44"/>
      <c r="AC96" s="44"/>
      <c r="AD96" s="44"/>
      <c r="AE96" s="44"/>
      <c r="AF96" s="44"/>
      <c r="AG96" s="44"/>
      <c r="AH96" s="44"/>
      <c r="AI96" s="44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44"/>
      <c r="AC97" s="44"/>
      <c r="AD97" s="44"/>
      <c r="AE97" s="44"/>
      <c r="AF97" s="44"/>
      <c r="AG97" s="44"/>
      <c r="AH97" s="44"/>
      <c r="AI97" s="44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44"/>
      <c r="AC98" s="44"/>
      <c r="AD98" s="44"/>
      <c r="AE98" s="44"/>
      <c r="AF98" s="44"/>
      <c r="AG98" s="44"/>
      <c r="AH98" s="44"/>
      <c r="AI98" s="44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44"/>
      <c r="AC99" s="44"/>
      <c r="AD99" s="44"/>
      <c r="AE99" s="44"/>
      <c r="AF99" s="44"/>
      <c r="AG99" s="44"/>
      <c r="AH99" s="44"/>
      <c r="AI99" s="44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44"/>
      <c r="AC100" s="44"/>
      <c r="AD100" s="44"/>
      <c r="AE100" s="44"/>
      <c r="AF100" s="44"/>
      <c r="AG100" s="44"/>
      <c r="AH100" s="44"/>
      <c r="AI100" s="44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44"/>
      <c r="AC101" s="44"/>
      <c r="AD101" s="44"/>
      <c r="AE101" s="44"/>
      <c r="AF101" s="44"/>
      <c r="AG101" s="44"/>
      <c r="AH101" s="44"/>
      <c r="AI101" s="44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44"/>
      <c r="AC102" s="44"/>
      <c r="AD102" s="44"/>
      <c r="AE102" s="44"/>
      <c r="AF102" s="44"/>
      <c r="AG102" s="44"/>
      <c r="AH102" s="44"/>
      <c r="AI102" s="44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44"/>
      <c r="AC103" s="44"/>
      <c r="AD103" s="44"/>
      <c r="AE103" s="44"/>
      <c r="AF103" s="44"/>
      <c r="AG103" s="44"/>
      <c r="AH103" s="44"/>
      <c r="AI103" s="44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44"/>
      <c r="AC104" s="44"/>
      <c r="AD104" s="44"/>
      <c r="AE104" s="44"/>
      <c r="AF104" s="44"/>
      <c r="AG104" s="44"/>
      <c r="AH104" s="44"/>
      <c r="AI104" s="44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44"/>
      <c r="AC105" s="44"/>
      <c r="AD105" s="44"/>
      <c r="AE105" s="44"/>
      <c r="AF105" s="44"/>
      <c r="AG105" s="44"/>
      <c r="AH105" s="44"/>
      <c r="AI105" s="44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44"/>
      <c r="AC106" s="44"/>
      <c r="AD106" s="44"/>
      <c r="AE106" s="44"/>
      <c r="AF106" s="44"/>
      <c r="AG106" s="44"/>
      <c r="AH106" s="44"/>
      <c r="AI106" s="44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44"/>
      <c r="AC107" s="44"/>
      <c r="AD107" s="44"/>
      <c r="AE107" s="44"/>
      <c r="AF107" s="44"/>
      <c r="AG107" s="44"/>
      <c r="AH107" s="44"/>
      <c r="AI107" s="44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44"/>
      <c r="AC108" s="44"/>
      <c r="AD108" s="44"/>
      <c r="AE108" s="44"/>
      <c r="AF108" s="44"/>
      <c r="AG108" s="44"/>
      <c r="AH108" s="44"/>
      <c r="AI108" s="44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44"/>
      <c r="AC109" s="44"/>
      <c r="AD109" s="44"/>
      <c r="AE109" s="44"/>
      <c r="AF109" s="44"/>
      <c r="AG109" s="44"/>
      <c r="AH109" s="44"/>
      <c r="AI109" s="44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44"/>
      <c r="AC110" s="44"/>
      <c r="AD110" s="44"/>
      <c r="AE110" s="44"/>
      <c r="AF110" s="44"/>
      <c r="AG110" s="44"/>
      <c r="AH110" s="44"/>
      <c r="AI110" s="44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44"/>
      <c r="AC111" s="44"/>
      <c r="AD111" s="44"/>
      <c r="AE111" s="44"/>
      <c r="AF111" s="44"/>
      <c r="AG111" s="44"/>
      <c r="AH111" s="44"/>
      <c r="AI111" s="44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44"/>
      <c r="AC112" s="44"/>
      <c r="AD112" s="44"/>
      <c r="AE112" s="44"/>
      <c r="AF112" s="44"/>
      <c r="AG112" s="44"/>
      <c r="AH112" s="44"/>
      <c r="AI112" s="44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44"/>
      <c r="AC113" s="44"/>
      <c r="AD113" s="44"/>
      <c r="AE113" s="44"/>
      <c r="AF113" s="44"/>
      <c r="AG113" s="44"/>
      <c r="AH113" s="44"/>
      <c r="AI113" s="44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44"/>
      <c r="AC114" s="44"/>
      <c r="AD114" s="44"/>
      <c r="AE114" s="44"/>
      <c r="AF114" s="44"/>
      <c r="AG114" s="44"/>
      <c r="AH114" s="44"/>
      <c r="AI114" s="44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44"/>
      <c r="AC115" s="44"/>
      <c r="AD115" s="44"/>
      <c r="AE115" s="44"/>
      <c r="AF115" s="44"/>
      <c r="AG115" s="44"/>
      <c r="AH115" s="44"/>
      <c r="AI115" s="44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44"/>
      <c r="AC116" s="44"/>
      <c r="AD116" s="44"/>
      <c r="AE116" s="44"/>
      <c r="AF116" s="44"/>
      <c r="AG116" s="44"/>
      <c r="AH116" s="44"/>
      <c r="AI116" s="44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44"/>
      <c r="AC117" s="44"/>
      <c r="AD117" s="44"/>
      <c r="AE117" s="44"/>
      <c r="AF117" s="44"/>
      <c r="AG117" s="44"/>
      <c r="AH117" s="44"/>
      <c r="AI117" s="44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44"/>
      <c r="AC118" s="44"/>
      <c r="AD118" s="44"/>
      <c r="AE118" s="44"/>
      <c r="AF118" s="44"/>
      <c r="AG118" s="44"/>
      <c r="AH118" s="44"/>
      <c r="AI118" s="44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44"/>
      <c r="AC119" s="44"/>
      <c r="AD119" s="44"/>
      <c r="AE119" s="44"/>
      <c r="AF119" s="44"/>
      <c r="AG119" s="44"/>
      <c r="AH119" s="44"/>
      <c r="AI119" s="44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44"/>
      <c r="AC120" s="44"/>
      <c r="AD120" s="44"/>
      <c r="AE120" s="44"/>
      <c r="AF120" s="44"/>
      <c r="AG120" s="44"/>
      <c r="AH120" s="44"/>
      <c r="AI120" s="44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44"/>
      <c r="AC121" s="44"/>
      <c r="AD121" s="44"/>
      <c r="AE121" s="44"/>
      <c r="AF121" s="44"/>
      <c r="AG121" s="44"/>
      <c r="AH121" s="44"/>
      <c r="AI121" s="44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44"/>
      <c r="AC122" s="44"/>
      <c r="AD122" s="44"/>
      <c r="AE122" s="44"/>
      <c r="AF122" s="44"/>
      <c r="AG122" s="44"/>
      <c r="AH122" s="44"/>
      <c r="AI122" s="44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44"/>
      <c r="AC123" s="44"/>
      <c r="AD123" s="44"/>
      <c r="AE123" s="44"/>
      <c r="AF123" s="44"/>
      <c r="AG123" s="44"/>
      <c r="AH123" s="44"/>
      <c r="AI123" s="44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44"/>
      <c r="AC124" s="44"/>
      <c r="AD124" s="44"/>
      <c r="AE124" s="44"/>
      <c r="AF124" s="44"/>
      <c r="AG124" s="44"/>
      <c r="AH124" s="44"/>
      <c r="AI124" s="44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44"/>
      <c r="AC125" s="44"/>
      <c r="AD125" s="44"/>
      <c r="AE125" s="44"/>
      <c r="AF125" s="44"/>
      <c r="AG125" s="44"/>
      <c r="AH125" s="44"/>
      <c r="AI125" s="44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44"/>
      <c r="AC126" s="44"/>
      <c r="AD126" s="44"/>
      <c r="AE126" s="44"/>
      <c r="AF126" s="44"/>
      <c r="AG126" s="44"/>
      <c r="AH126" s="44"/>
      <c r="AI126" s="44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44"/>
      <c r="AC127" s="44"/>
      <c r="AD127" s="44"/>
      <c r="AE127" s="44"/>
      <c r="AF127" s="44"/>
      <c r="AG127" s="44"/>
      <c r="AH127" s="44"/>
      <c r="AI127" s="44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44"/>
      <c r="AC128" s="44"/>
      <c r="AD128" s="44"/>
      <c r="AE128" s="44"/>
      <c r="AF128" s="44"/>
      <c r="AG128" s="44"/>
      <c r="AH128" s="44"/>
      <c r="AI128" s="44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44"/>
      <c r="AC129" s="44"/>
      <c r="AD129" s="44"/>
      <c r="AE129" s="44"/>
      <c r="AF129" s="44"/>
      <c r="AG129" s="44"/>
      <c r="AH129" s="44"/>
      <c r="AI129" s="44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44"/>
      <c r="AC130" s="44"/>
      <c r="AD130" s="44"/>
      <c r="AE130" s="44"/>
      <c r="AF130" s="44"/>
      <c r="AG130" s="44"/>
      <c r="AH130" s="44"/>
      <c r="AI130" s="44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44"/>
      <c r="AC131" s="44"/>
      <c r="AD131" s="44"/>
      <c r="AE131" s="44"/>
      <c r="AF131" s="44"/>
      <c r="AG131" s="44"/>
      <c r="AH131" s="44"/>
      <c r="AI131" s="44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44"/>
      <c r="AC132" s="44"/>
      <c r="AD132" s="44"/>
      <c r="AE132" s="44"/>
      <c r="AF132" s="44"/>
      <c r="AG132" s="44"/>
      <c r="AH132" s="44"/>
      <c r="AI132" s="44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44"/>
      <c r="AC133" s="44"/>
      <c r="AD133" s="44"/>
      <c r="AE133" s="44"/>
      <c r="AF133" s="44"/>
      <c r="AG133" s="44"/>
      <c r="AH133" s="44"/>
      <c r="AI133" s="44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44"/>
      <c r="AC134" s="44"/>
      <c r="AD134" s="44"/>
      <c r="AE134" s="44"/>
      <c r="AF134" s="44"/>
      <c r="AG134" s="44"/>
      <c r="AH134" s="44"/>
      <c r="AI134" s="44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44"/>
      <c r="AC135" s="44"/>
      <c r="AD135" s="44"/>
      <c r="AE135" s="44"/>
      <c r="AF135" s="44"/>
      <c r="AG135" s="44"/>
      <c r="AH135" s="44"/>
      <c r="AI135" s="44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44"/>
      <c r="AC136" s="44"/>
      <c r="AD136" s="44"/>
      <c r="AE136" s="44"/>
      <c r="AF136" s="44"/>
      <c r="AG136" s="44"/>
      <c r="AH136" s="44"/>
      <c r="AI136" s="44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44"/>
      <c r="AC137" s="44"/>
      <c r="AD137" s="44"/>
      <c r="AE137" s="44"/>
      <c r="AF137" s="44"/>
      <c r="AG137" s="44"/>
      <c r="AH137" s="44"/>
      <c r="AI137" s="44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44"/>
      <c r="AC138" s="44"/>
      <c r="AD138" s="44"/>
      <c r="AE138" s="44"/>
      <c r="AF138" s="44"/>
      <c r="AG138" s="44"/>
      <c r="AH138" s="44"/>
      <c r="AI138" s="44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44"/>
      <c r="AC139" s="44"/>
      <c r="AD139" s="44"/>
      <c r="AE139" s="44"/>
      <c r="AF139" s="44"/>
      <c r="AG139" s="44"/>
      <c r="AH139" s="44"/>
      <c r="AI139" s="44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44"/>
      <c r="AC140" s="44"/>
      <c r="AD140" s="44"/>
      <c r="AE140" s="44"/>
      <c r="AF140" s="44"/>
      <c r="AG140" s="44"/>
      <c r="AH140" s="44"/>
      <c r="AI140" s="44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44"/>
      <c r="AC141" s="44"/>
      <c r="AD141" s="44"/>
      <c r="AE141" s="44"/>
      <c r="AF141" s="44"/>
      <c r="AG141" s="44"/>
      <c r="AH141" s="44"/>
      <c r="AI141" s="44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44"/>
      <c r="AC142" s="44"/>
      <c r="AD142" s="44"/>
      <c r="AE142" s="44"/>
      <c r="AF142" s="44"/>
      <c r="AG142" s="44"/>
      <c r="AH142" s="44"/>
      <c r="AI142" s="44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44"/>
      <c r="AC143" s="44"/>
      <c r="AD143" s="44"/>
      <c r="AE143" s="44"/>
      <c r="AF143" s="44"/>
      <c r="AG143" s="44"/>
      <c r="AH143" s="44"/>
      <c r="AI143" s="44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44"/>
      <c r="AC144" s="44"/>
      <c r="AD144" s="44"/>
      <c r="AE144" s="44"/>
      <c r="AF144" s="44"/>
      <c r="AG144" s="44"/>
      <c r="AH144" s="44"/>
      <c r="AI144" s="44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44"/>
      <c r="AC145" s="44"/>
      <c r="AD145" s="44"/>
      <c r="AE145" s="44"/>
      <c r="AF145" s="44"/>
      <c r="AG145" s="44"/>
      <c r="AH145" s="44"/>
      <c r="AI145" s="44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44"/>
      <c r="AC146" s="44"/>
      <c r="AD146" s="44"/>
      <c r="AE146" s="44"/>
      <c r="AF146" s="44"/>
      <c r="AG146" s="44"/>
      <c r="AH146" s="44"/>
      <c r="AI146" s="44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44"/>
      <c r="AC147" s="44"/>
      <c r="AD147" s="44"/>
      <c r="AE147" s="44"/>
      <c r="AF147" s="44"/>
      <c r="AG147" s="44"/>
      <c r="AH147" s="44"/>
      <c r="AI147" s="44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44"/>
      <c r="AC148" s="44"/>
      <c r="AD148" s="44"/>
      <c r="AE148" s="44"/>
      <c r="AF148" s="44"/>
      <c r="AG148" s="44"/>
      <c r="AH148" s="44"/>
      <c r="AI148" s="44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44"/>
      <c r="AC149" s="44"/>
      <c r="AD149" s="44"/>
      <c r="AE149" s="44"/>
      <c r="AF149" s="44"/>
      <c r="AG149" s="44"/>
      <c r="AH149" s="44"/>
      <c r="AI149" s="44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44"/>
      <c r="AC150" s="44"/>
      <c r="AD150" s="44"/>
      <c r="AE150" s="44"/>
      <c r="AF150" s="44"/>
      <c r="AG150" s="44"/>
      <c r="AH150" s="44"/>
      <c r="AI150" s="44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44"/>
      <c r="AC151" s="44"/>
      <c r="AD151" s="44"/>
      <c r="AE151" s="44"/>
      <c r="AF151" s="44"/>
      <c r="AG151" s="44"/>
      <c r="AH151" s="44"/>
      <c r="AI151" s="44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44"/>
      <c r="AC152" s="44"/>
      <c r="AD152" s="44"/>
      <c r="AE152" s="44"/>
      <c r="AF152" s="44"/>
      <c r="AG152" s="44"/>
      <c r="AH152" s="44"/>
      <c r="AI152" s="44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44"/>
      <c r="AC153" s="44"/>
      <c r="AD153" s="44"/>
      <c r="AE153" s="44"/>
      <c r="AF153" s="44"/>
      <c r="AG153" s="44"/>
      <c r="AH153" s="44"/>
      <c r="AI153" s="44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44"/>
      <c r="AC154" s="44"/>
      <c r="AD154" s="44"/>
      <c r="AE154" s="44"/>
      <c r="AF154" s="44"/>
      <c r="AG154" s="44"/>
      <c r="AH154" s="44"/>
      <c r="AI154" s="44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44"/>
      <c r="AC155" s="44"/>
      <c r="AD155" s="44"/>
      <c r="AE155" s="44"/>
      <c r="AF155" s="44"/>
      <c r="AG155" s="44"/>
      <c r="AH155" s="44"/>
      <c r="AI155" s="44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44"/>
      <c r="AC156" s="44"/>
      <c r="AD156" s="44"/>
      <c r="AE156" s="44"/>
      <c r="AF156" s="44"/>
      <c r="AG156" s="44"/>
      <c r="AH156" s="44"/>
      <c r="AI156" s="44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44"/>
      <c r="AC157" s="44"/>
      <c r="AD157" s="44"/>
      <c r="AE157" s="44"/>
      <c r="AF157" s="44"/>
      <c r="AG157" s="44"/>
      <c r="AH157" s="44"/>
      <c r="AI157" s="44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44"/>
      <c r="AC158" s="44"/>
      <c r="AD158" s="44"/>
      <c r="AE158" s="44"/>
      <c r="AF158" s="44"/>
      <c r="AG158" s="44"/>
      <c r="AH158" s="44"/>
      <c r="AI158" s="44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44"/>
      <c r="AC159" s="44"/>
      <c r="AD159" s="44"/>
      <c r="AE159" s="44"/>
      <c r="AF159" s="44"/>
      <c r="AG159" s="44"/>
      <c r="AH159" s="44"/>
      <c r="AI159" s="44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44"/>
      <c r="AC160" s="44"/>
      <c r="AD160" s="44"/>
      <c r="AE160" s="44"/>
      <c r="AF160" s="44"/>
      <c r="AG160" s="44"/>
      <c r="AH160" s="44"/>
      <c r="AI160" s="44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44"/>
      <c r="AC161" s="44"/>
      <c r="AD161" s="44"/>
      <c r="AE161" s="44"/>
      <c r="AF161" s="44"/>
      <c r="AG161" s="44"/>
      <c r="AH161" s="44"/>
      <c r="AI161" s="44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44"/>
      <c r="AC162" s="44"/>
      <c r="AD162" s="44"/>
      <c r="AE162" s="44"/>
      <c r="AF162" s="44"/>
      <c r="AG162" s="44"/>
      <c r="AH162" s="44"/>
      <c r="AI162" s="44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44"/>
      <c r="AC163" s="44"/>
      <c r="AD163" s="44"/>
      <c r="AE163" s="44"/>
      <c r="AF163" s="44"/>
      <c r="AG163" s="44"/>
      <c r="AH163" s="44"/>
      <c r="AI163" s="44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44"/>
      <c r="AC164" s="44"/>
      <c r="AD164" s="44"/>
      <c r="AE164" s="44"/>
      <c r="AF164" s="44"/>
      <c r="AG164" s="44"/>
      <c r="AH164" s="44"/>
      <c r="AI164" s="44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44"/>
      <c r="AC165" s="44"/>
      <c r="AD165" s="44"/>
      <c r="AE165" s="44"/>
      <c r="AF165" s="44"/>
      <c r="AG165" s="44"/>
      <c r="AH165" s="44"/>
      <c r="AI165" s="44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44"/>
      <c r="AC166" s="44"/>
      <c r="AD166" s="44"/>
      <c r="AE166" s="44"/>
      <c r="AF166" s="44"/>
      <c r="AG166" s="44"/>
      <c r="AH166" s="44"/>
      <c r="AI166" s="44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44"/>
      <c r="AC167" s="44"/>
      <c r="AD167" s="44"/>
      <c r="AE167" s="44"/>
      <c r="AF167" s="44"/>
      <c r="AG167" s="44"/>
      <c r="AH167" s="44"/>
      <c r="AI167" s="44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44"/>
      <c r="AC168" s="44"/>
      <c r="AD168" s="44"/>
      <c r="AE168" s="44"/>
      <c r="AF168" s="44"/>
      <c r="AG168" s="44"/>
      <c r="AH168" s="44"/>
      <c r="AI168" s="44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44"/>
      <c r="AC169" s="44"/>
      <c r="AD169" s="44"/>
      <c r="AE169" s="44"/>
      <c r="AF169" s="44"/>
      <c r="AG169" s="44"/>
      <c r="AH169" s="44"/>
      <c r="AI169" s="44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44"/>
      <c r="AC170" s="44"/>
      <c r="AD170" s="44"/>
      <c r="AE170" s="44"/>
      <c r="AF170" s="44"/>
      <c r="AG170" s="44"/>
      <c r="AH170" s="44"/>
      <c r="AI170" s="44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44"/>
      <c r="AC171" s="44"/>
      <c r="AD171" s="44"/>
      <c r="AE171" s="44"/>
      <c r="AF171" s="44"/>
      <c r="AG171" s="44"/>
      <c r="AH171" s="44"/>
      <c r="AI171" s="44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44"/>
      <c r="AC172" s="44"/>
      <c r="AD172" s="44"/>
      <c r="AE172" s="44"/>
      <c r="AF172" s="44"/>
      <c r="AG172" s="44"/>
      <c r="AH172" s="44"/>
      <c r="AI172" s="44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44"/>
      <c r="AC173" s="44"/>
      <c r="AD173" s="44"/>
      <c r="AE173" s="44"/>
      <c r="AF173" s="44"/>
      <c r="AG173" s="44"/>
      <c r="AH173" s="44"/>
      <c r="AI173" s="44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44"/>
      <c r="AC174" s="44"/>
      <c r="AD174" s="44"/>
      <c r="AE174" s="44"/>
      <c r="AF174" s="44"/>
      <c r="AG174" s="44"/>
      <c r="AH174" s="44"/>
      <c r="AI174" s="44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44"/>
      <c r="AC175" s="44"/>
      <c r="AD175" s="44"/>
      <c r="AE175" s="44"/>
      <c r="AF175" s="44"/>
      <c r="AG175" s="44"/>
      <c r="AH175" s="44"/>
      <c r="AI175" s="44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44"/>
      <c r="AC176" s="44"/>
      <c r="AD176" s="44"/>
      <c r="AE176" s="44"/>
      <c r="AF176" s="44"/>
      <c r="AG176" s="44"/>
      <c r="AH176" s="44"/>
      <c r="AI176" s="44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44"/>
      <c r="AC177" s="44"/>
      <c r="AD177" s="44"/>
      <c r="AE177" s="44"/>
      <c r="AF177" s="44"/>
      <c r="AG177" s="44"/>
      <c r="AH177" s="44"/>
      <c r="AI177" s="44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44"/>
      <c r="AC178" s="44"/>
      <c r="AD178" s="44"/>
      <c r="AE178" s="44"/>
      <c r="AF178" s="44"/>
      <c r="AG178" s="44"/>
      <c r="AH178" s="44"/>
      <c r="AI178" s="44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44"/>
      <c r="AC179" s="44"/>
      <c r="AD179" s="44"/>
      <c r="AE179" s="44"/>
      <c r="AF179" s="44"/>
      <c r="AG179" s="44"/>
      <c r="AH179" s="44"/>
      <c r="AI179" s="44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44"/>
      <c r="AC180" s="44"/>
      <c r="AD180" s="44"/>
      <c r="AE180" s="44"/>
      <c r="AF180" s="44"/>
      <c r="AG180" s="44"/>
      <c r="AH180" s="44"/>
      <c r="AI180" s="44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44"/>
      <c r="AC181" s="44"/>
      <c r="AD181" s="44"/>
      <c r="AE181" s="44"/>
      <c r="AF181" s="44"/>
      <c r="AG181" s="44"/>
      <c r="AH181" s="44"/>
      <c r="AI181" s="44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44"/>
      <c r="AC182" s="44"/>
      <c r="AD182" s="44"/>
      <c r="AE182" s="44"/>
      <c r="AF182" s="44"/>
      <c r="AG182" s="44"/>
      <c r="AH182" s="44"/>
      <c r="AI182" s="44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44"/>
      <c r="AC183" s="44"/>
      <c r="AD183" s="44"/>
      <c r="AE183" s="44"/>
      <c r="AF183" s="44"/>
      <c r="AG183" s="44"/>
      <c r="AH183" s="44"/>
      <c r="AI183" s="44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44"/>
      <c r="AC184" s="44"/>
      <c r="AD184" s="44"/>
      <c r="AE184" s="44"/>
      <c r="AF184" s="44"/>
      <c r="AG184" s="44"/>
      <c r="AH184" s="44"/>
      <c r="AI184" s="44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44"/>
      <c r="AC185" s="44"/>
      <c r="AD185" s="44"/>
      <c r="AE185" s="44"/>
      <c r="AF185" s="44"/>
      <c r="AG185" s="44"/>
      <c r="AH185" s="44"/>
      <c r="AI185" s="44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44"/>
      <c r="AC186" s="44"/>
      <c r="AD186" s="44"/>
      <c r="AE186" s="44"/>
      <c r="AF186" s="44"/>
      <c r="AG186" s="44"/>
      <c r="AH186" s="44"/>
      <c r="AI186" s="44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44"/>
      <c r="AC187" s="44"/>
      <c r="AD187" s="44"/>
      <c r="AE187" s="44"/>
      <c r="AF187" s="44"/>
      <c r="AG187" s="44"/>
      <c r="AH187" s="44"/>
      <c r="AI187" s="44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44"/>
      <c r="AC188" s="44"/>
      <c r="AD188" s="44"/>
      <c r="AE188" s="44"/>
      <c r="AF188" s="44"/>
      <c r="AG188" s="44"/>
      <c r="AH188" s="44"/>
      <c r="AI188" s="44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44"/>
      <c r="AC189" s="44"/>
      <c r="AD189" s="44"/>
      <c r="AE189" s="44"/>
      <c r="AF189" s="44"/>
      <c r="AG189" s="44"/>
      <c r="AH189" s="44"/>
      <c r="AI189" s="44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44"/>
      <c r="AC190" s="44"/>
      <c r="AD190" s="44"/>
      <c r="AE190" s="44"/>
      <c r="AF190" s="44"/>
      <c r="AG190" s="44"/>
      <c r="AH190" s="44"/>
      <c r="AI190" s="44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44"/>
      <c r="AC191" s="44"/>
      <c r="AD191" s="44"/>
      <c r="AE191" s="44"/>
      <c r="AF191" s="44"/>
      <c r="AG191" s="44"/>
      <c r="AH191" s="44"/>
      <c r="AI191" s="44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44"/>
      <c r="AC192" s="44"/>
      <c r="AD192" s="44"/>
      <c r="AE192" s="44"/>
      <c r="AF192" s="44"/>
      <c r="AG192" s="44"/>
      <c r="AH192" s="44"/>
      <c r="AI192" s="44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44"/>
      <c r="AC193" s="44"/>
      <c r="AD193" s="44"/>
      <c r="AE193" s="44"/>
      <c r="AF193" s="44"/>
      <c r="AG193" s="44"/>
      <c r="AH193" s="44"/>
      <c r="AI193" s="44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44"/>
      <c r="AC194" s="44"/>
      <c r="AD194" s="44"/>
      <c r="AE194" s="44"/>
      <c r="AF194" s="44"/>
      <c r="AG194" s="44"/>
      <c r="AH194" s="44"/>
      <c r="AI194" s="44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44"/>
      <c r="AC195" s="44"/>
      <c r="AD195" s="44"/>
      <c r="AE195" s="44"/>
      <c r="AF195" s="44"/>
      <c r="AG195" s="44"/>
      <c r="AH195" s="44"/>
      <c r="AI195" s="44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44"/>
      <c r="AC196" s="44"/>
      <c r="AD196" s="44"/>
      <c r="AE196" s="44"/>
      <c r="AF196" s="44"/>
      <c r="AG196" s="44"/>
      <c r="AH196" s="44"/>
      <c r="AI196" s="44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44"/>
      <c r="AC197" s="44"/>
      <c r="AD197" s="44"/>
      <c r="AE197" s="44"/>
      <c r="AF197" s="44"/>
      <c r="AG197" s="44"/>
      <c r="AH197" s="44"/>
      <c r="AI197" s="44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44"/>
      <c r="AC198" s="44"/>
      <c r="AD198" s="44"/>
      <c r="AE198" s="44"/>
      <c r="AF198" s="44"/>
      <c r="AG198" s="44"/>
      <c r="AH198" s="44"/>
      <c r="AI198" s="44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44"/>
      <c r="AC199" s="44"/>
      <c r="AD199" s="44"/>
      <c r="AE199" s="44"/>
      <c r="AF199" s="44"/>
      <c r="AG199" s="44"/>
      <c r="AH199" s="44"/>
      <c r="AI199" s="44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44"/>
      <c r="AC200" s="44"/>
      <c r="AD200" s="44"/>
      <c r="AE200" s="44"/>
      <c r="AF200" s="44"/>
      <c r="AG200" s="44"/>
      <c r="AH200" s="44"/>
      <c r="AI200" s="44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44"/>
      <c r="AC201" s="44"/>
      <c r="AD201" s="44"/>
      <c r="AE201" s="44"/>
      <c r="AF201" s="44"/>
      <c r="AG201" s="44"/>
      <c r="AH201" s="44"/>
      <c r="AI201" s="44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44"/>
      <c r="AC202" s="44"/>
      <c r="AD202" s="44"/>
      <c r="AE202" s="44"/>
      <c r="AF202" s="44"/>
      <c r="AG202" s="44"/>
      <c r="AH202" s="44"/>
      <c r="AI202" s="44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44"/>
      <c r="AC203" s="44"/>
      <c r="AD203" s="44"/>
      <c r="AE203" s="44"/>
      <c r="AF203" s="44"/>
      <c r="AG203" s="44"/>
      <c r="AH203" s="44"/>
      <c r="AI203" s="44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44"/>
      <c r="AC204" s="44"/>
      <c r="AD204" s="44"/>
      <c r="AE204" s="44"/>
      <c r="AF204" s="44"/>
      <c r="AG204" s="44"/>
      <c r="AH204" s="44"/>
      <c r="AI204" s="44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44"/>
      <c r="AC205" s="44"/>
      <c r="AD205" s="44"/>
      <c r="AE205" s="44"/>
      <c r="AF205" s="44"/>
      <c r="AG205" s="44"/>
      <c r="AH205" s="44"/>
      <c r="AI205" s="44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44"/>
      <c r="AC206" s="44"/>
      <c r="AD206" s="44"/>
      <c r="AE206" s="44"/>
      <c r="AF206" s="44"/>
      <c r="AG206" s="44"/>
      <c r="AH206" s="44"/>
      <c r="AI206" s="44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44"/>
      <c r="AC207" s="44"/>
      <c r="AD207" s="44"/>
      <c r="AE207" s="44"/>
      <c r="AF207" s="44"/>
      <c r="AG207" s="44"/>
      <c r="AH207" s="44"/>
      <c r="AI207" s="44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44"/>
      <c r="AC208" s="44"/>
      <c r="AD208" s="44"/>
      <c r="AE208" s="44"/>
      <c r="AF208" s="44"/>
      <c r="AG208" s="44"/>
      <c r="AH208" s="44"/>
      <c r="AI208" s="44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44"/>
      <c r="AC209" s="44"/>
      <c r="AD209" s="44"/>
      <c r="AE209" s="44"/>
      <c r="AF209" s="44"/>
      <c r="AG209" s="44"/>
      <c r="AH209" s="44"/>
      <c r="AI209" s="44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44"/>
      <c r="AC210" s="44"/>
      <c r="AD210" s="44"/>
      <c r="AE210" s="44"/>
      <c r="AF210" s="44"/>
      <c r="AG210" s="44"/>
      <c r="AH210" s="44"/>
      <c r="AI210" s="44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44"/>
      <c r="AC211" s="44"/>
      <c r="AD211" s="44"/>
      <c r="AE211" s="44"/>
      <c r="AF211" s="44"/>
      <c r="AG211" s="44"/>
      <c r="AH211" s="44"/>
      <c r="AI211" s="44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44"/>
      <c r="AC212" s="44"/>
      <c r="AD212" s="44"/>
      <c r="AE212" s="44"/>
      <c r="AF212" s="44"/>
      <c r="AG212" s="44"/>
      <c r="AH212" s="44"/>
      <c r="AI212" s="44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44"/>
      <c r="AC213" s="44"/>
      <c r="AD213" s="44"/>
      <c r="AE213" s="44"/>
      <c r="AF213" s="44"/>
      <c r="AG213" s="44"/>
      <c r="AH213" s="44"/>
      <c r="AI213" s="44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44"/>
      <c r="AC214" s="44"/>
      <c r="AD214" s="44"/>
      <c r="AE214" s="44"/>
      <c r="AF214" s="44"/>
      <c r="AG214" s="44"/>
      <c r="AH214" s="44"/>
      <c r="AI214" s="44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44"/>
      <c r="AC215" s="44"/>
      <c r="AD215" s="44"/>
      <c r="AE215" s="44"/>
      <c r="AF215" s="44"/>
      <c r="AG215" s="44"/>
      <c r="AH215" s="44"/>
      <c r="AI215" s="44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44"/>
      <c r="AC216" s="44"/>
      <c r="AD216" s="44"/>
      <c r="AE216" s="44"/>
      <c r="AF216" s="44"/>
      <c r="AG216" s="44"/>
      <c r="AH216" s="44"/>
      <c r="AI216" s="44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44"/>
      <c r="AC217" s="44"/>
      <c r="AD217" s="44"/>
      <c r="AE217" s="44"/>
      <c r="AF217" s="44"/>
      <c r="AG217" s="44"/>
      <c r="AH217" s="44"/>
      <c r="AI217" s="44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44"/>
      <c r="AC218" s="44"/>
      <c r="AD218" s="44"/>
      <c r="AE218" s="44"/>
      <c r="AF218" s="44"/>
      <c r="AG218" s="44"/>
      <c r="AH218" s="44"/>
      <c r="AI218" s="44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44"/>
      <c r="AC219" s="44"/>
      <c r="AD219" s="44"/>
      <c r="AE219" s="44"/>
      <c r="AF219" s="44"/>
      <c r="AG219" s="44"/>
      <c r="AH219" s="44"/>
      <c r="AI219" s="44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44"/>
      <c r="AC220" s="44"/>
      <c r="AD220" s="44"/>
      <c r="AE220" s="44"/>
      <c r="AF220" s="44"/>
      <c r="AG220" s="44"/>
      <c r="AH220" s="44"/>
      <c r="AI220" s="44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44"/>
      <c r="AC221" s="44"/>
      <c r="AD221" s="44"/>
      <c r="AE221" s="44"/>
      <c r="AF221" s="44"/>
      <c r="AG221" s="44"/>
      <c r="AH221" s="44"/>
      <c r="AI221" s="44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44"/>
      <c r="AC222" s="44"/>
      <c r="AD222" s="44"/>
      <c r="AE222" s="44"/>
      <c r="AF222" s="44"/>
      <c r="AG222" s="44"/>
      <c r="AH222" s="44"/>
      <c r="AI222" s="44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44"/>
      <c r="AC223" s="44"/>
      <c r="AD223" s="44"/>
      <c r="AE223" s="44"/>
      <c r="AF223" s="44"/>
      <c r="AG223" s="44"/>
      <c r="AH223" s="44"/>
      <c r="AI223" s="44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44"/>
      <c r="AC224" s="44"/>
      <c r="AD224" s="44"/>
      <c r="AE224" s="44"/>
      <c r="AF224" s="44"/>
      <c r="AG224" s="44"/>
      <c r="AH224" s="44"/>
      <c r="AI224" s="44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44"/>
      <c r="AC225" s="44"/>
      <c r="AD225" s="44"/>
      <c r="AE225" s="44"/>
      <c r="AF225" s="44"/>
      <c r="AG225" s="44"/>
      <c r="AH225" s="44"/>
      <c r="AI225" s="44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44"/>
      <c r="AC226" s="44"/>
      <c r="AD226" s="44"/>
      <c r="AE226" s="44"/>
      <c r="AF226" s="44"/>
      <c r="AG226" s="44"/>
      <c r="AH226" s="44"/>
      <c r="AI226" s="44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44"/>
      <c r="AC227" s="44"/>
      <c r="AD227" s="44"/>
      <c r="AE227" s="44"/>
      <c r="AF227" s="44"/>
      <c r="AG227" s="44"/>
      <c r="AH227" s="44"/>
      <c r="AI227" s="44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44"/>
      <c r="AC228" s="44"/>
      <c r="AD228" s="44"/>
      <c r="AE228" s="44"/>
      <c r="AF228" s="44"/>
      <c r="AG228" s="44"/>
      <c r="AH228" s="44"/>
      <c r="AI228" s="44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44"/>
      <c r="AC229" s="44"/>
      <c r="AD229" s="44"/>
      <c r="AE229" s="44"/>
      <c r="AF229" s="44"/>
      <c r="AG229" s="44"/>
      <c r="AH229" s="44"/>
      <c r="AI229" s="44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44"/>
      <c r="AC230" s="44"/>
      <c r="AD230" s="44"/>
      <c r="AE230" s="44"/>
      <c r="AF230" s="44"/>
      <c r="AG230" s="44"/>
      <c r="AH230" s="44"/>
      <c r="AI230" s="44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44"/>
      <c r="AC231" s="44"/>
      <c r="AD231" s="44"/>
      <c r="AE231" s="44"/>
      <c r="AF231" s="44"/>
      <c r="AG231" s="44"/>
      <c r="AH231" s="44"/>
      <c r="AI231" s="44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44"/>
      <c r="AC232" s="44"/>
      <c r="AD232" s="44"/>
      <c r="AE232" s="44"/>
      <c r="AF232" s="44"/>
      <c r="AG232" s="44"/>
      <c r="AH232" s="44"/>
      <c r="AI232" s="44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44"/>
      <c r="AC233" s="44"/>
      <c r="AD233" s="44"/>
      <c r="AE233" s="44"/>
      <c r="AF233" s="44"/>
      <c r="AG233" s="44"/>
      <c r="AH233" s="44"/>
      <c r="AI233" s="44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44"/>
      <c r="AC234" s="44"/>
      <c r="AD234" s="44"/>
      <c r="AE234" s="44"/>
      <c r="AF234" s="44"/>
      <c r="AG234" s="44"/>
      <c r="AH234" s="44"/>
      <c r="AI234" s="44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44"/>
      <c r="AC235" s="44"/>
      <c r="AD235" s="44"/>
      <c r="AE235" s="44"/>
      <c r="AF235" s="44"/>
      <c r="AG235" s="44"/>
      <c r="AH235" s="44"/>
      <c r="AI235" s="44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44"/>
      <c r="AC236" s="44"/>
      <c r="AD236" s="44"/>
      <c r="AE236" s="44"/>
      <c r="AF236" s="44"/>
      <c r="AG236" s="44"/>
      <c r="AH236" s="44"/>
      <c r="AI236" s="44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44"/>
      <c r="AC237" s="44"/>
      <c r="AD237" s="44"/>
      <c r="AE237" s="44"/>
      <c r="AF237" s="44"/>
      <c r="AG237" s="44"/>
      <c r="AH237" s="44"/>
      <c r="AI237" s="44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44"/>
      <c r="AC238" s="44"/>
      <c r="AD238" s="44"/>
      <c r="AE238" s="44"/>
      <c r="AF238" s="44"/>
      <c r="AG238" s="44"/>
      <c r="AH238" s="44"/>
      <c r="AI238" s="44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44"/>
      <c r="AC239" s="44"/>
      <c r="AD239" s="44"/>
      <c r="AE239" s="44"/>
      <c r="AF239" s="44"/>
      <c r="AG239" s="44"/>
      <c r="AH239" s="44"/>
      <c r="AI239" s="44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44"/>
      <c r="AC240" s="44"/>
      <c r="AD240" s="44"/>
      <c r="AE240" s="44"/>
      <c r="AF240" s="44"/>
      <c r="AG240" s="44"/>
      <c r="AH240" s="44"/>
      <c r="AI240" s="44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44"/>
      <c r="AC241" s="44"/>
      <c r="AD241" s="44"/>
      <c r="AE241" s="44"/>
      <c r="AF241" s="44"/>
      <c r="AG241" s="44"/>
      <c r="AH241" s="44"/>
      <c r="AI241" s="44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44"/>
      <c r="AC242" s="44"/>
      <c r="AD242" s="44"/>
      <c r="AE242" s="44"/>
      <c r="AF242" s="44"/>
      <c r="AG242" s="44"/>
      <c r="AH242" s="44"/>
      <c r="AI242" s="44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44"/>
      <c r="AC243" s="44"/>
      <c r="AD243" s="44"/>
      <c r="AE243" s="44"/>
      <c r="AF243" s="44"/>
      <c r="AG243" s="44"/>
      <c r="AH243" s="44"/>
      <c r="AI243" s="44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44"/>
      <c r="AC244" s="44"/>
      <c r="AD244" s="44"/>
      <c r="AE244" s="44"/>
      <c r="AF244" s="44"/>
      <c r="AG244" s="44"/>
      <c r="AH244" s="44"/>
      <c r="AI244" s="44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44"/>
      <c r="AC245" s="44"/>
      <c r="AD245" s="44"/>
      <c r="AE245" s="44"/>
      <c r="AF245" s="44"/>
      <c r="AG245" s="44"/>
      <c r="AH245" s="44"/>
      <c r="AI245" s="44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44"/>
      <c r="AC246" s="44"/>
      <c r="AD246" s="44"/>
      <c r="AE246" s="44"/>
      <c r="AF246" s="44"/>
      <c r="AG246" s="44"/>
      <c r="AH246" s="44"/>
      <c r="AI246" s="44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44"/>
      <c r="AC247" s="44"/>
      <c r="AD247" s="44"/>
      <c r="AE247" s="44"/>
      <c r="AF247" s="44"/>
      <c r="AG247" s="44"/>
      <c r="AH247" s="44"/>
      <c r="AI247" s="44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44"/>
      <c r="AC248" s="44"/>
      <c r="AD248" s="44"/>
      <c r="AE248" s="44"/>
      <c r="AF248" s="44"/>
      <c r="AG248" s="44"/>
      <c r="AH248" s="44"/>
      <c r="AI248" s="44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44"/>
      <c r="AC249" s="44"/>
      <c r="AD249" s="44"/>
      <c r="AE249" s="44"/>
      <c r="AF249" s="44"/>
      <c r="AG249" s="44"/>
      <c r="AH249" s="44"/>
      <c r="AI249" s="44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44"/>
      <c r="AC250" s="44"/>
      <c r="AD250" s="44"/>
      <c r="AE250" s="44"/>
      <c r="AF250" s="44"/>
      <c r="AG250" s="44"/>
      <c r="AH250" s="44"/>
      <c r="AI250" s="44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44"/>
      <c r="AC251" s="44"/>
      <c r="AD251" s="44"/>
      <c r="AE251" s="44"/>
      <c r="AF251" s="44"/>
      <c r="AG251" s="44"/>
      <c r="AH251" s="44"/>
      <c r="AI251" s="44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44"/>
      <c r="AC252" s="44"/>
      <c r="AD252" s="44"/>
      <c r="AE252" s="44"/>
      <c r="AF252" s="44"/>
      <c r="AG252" s="44"/>
      <c r="AH252" s="44"/>
      <c r="AI252" s="44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44"/>
      <c r="AC253" s="44"/>
      <c r="AD253" s="44"/>
      <c r="AE253" s="44"/>
      <c r="AF253" s="44"/>
      <c r="AG253" s="44"/>
      <c r="AH253" s="44"/>
      <c r="AI253" s="44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44"/>
      <c r="AC254" s="44"/>
      <c r="AD254" s="44"/>
      <c r="AE254" s="44"/>
      <c r="AF254" s="44"/>
      <c r="AG254" s="44"/>
      <c r="AH254" s="44"/>
      <c r="AI254" s="44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44"/>
      <c r="AC255" s="44"/>
      <c r="AD255" s="44"/>
      <c r="AE255" s="44"/>
      <c r="AF255" s="44"/>
      <c r="AG255" s="44"/>
      <c r="AH255" s="44"/>
      <c r="AI255" s="44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44"/>
      <c r="AC256" s="44"/>
      <c r="AD256" s="44"/>
      <c r="AE256" s="44"/>
      <c r="AF256" s="44"/>
      <c r="AG256" s="44"/>
      <c r="AH256" s="44"/>
      <c r="AI256" s="44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44"/>
      <c r="AC257" s="44"/>
      <c r="AD257" s="44"/>
      <c r="AE257" s="44"/>
      <c r="AF257" s="44"/>
      <c r="AG257" s="44"/>
      <c r="AH257" s="44"/>
      <c r="AI257" s="44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44"/>
      <c r="AC258" s="44"/>
      <c r="AD258" s="44"/>
      <c r="AE258" s="44"/>
      <c r="AF258" s="44"/>
      <c r="AG258" s="44"/>
      <c r="AH258" s="44"/>
      <c r="AI258" s="44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44"/>
      <c r="AC259" s="44"/>
      <c r="AD259" s="44"/>
      <c r="AE259" s="44"/>
      <c r="AF259" s="44"/>
      <c r="AG259" s="44"/>
      <c r="AH259" s="44"/>
      <c r="AI259" s="44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44"/>
      <c r="AC260" s="44"/>
      <c r="AD260" s="44"/>
      <c r="AE260" s="44"/>
      <c r="AF260" s="44"/>
      <c r="AG260" s="44"/>
      <c r="AH260" s="44"/>
      <c r="AI260" s="44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44"/>
      <c r="AC261" s="44"/>
      <c r="AD261" s="44"/>
      <c r="AE261" s="44"/>
      <c r="AF261" s="44"/>
      <c r="AG261" s="44"/>
      <c r="AH261" s="44"/>
      <c r="AI261" s="44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44"/>
      <c r="AC262" s="44"/>
      <c r="AD262" s="44"/>
      <c r="AE262" s="44"/>
      <c r="AF262" s="44"/>
      <c r="AG262" s="44"/>
      <c r="AH262" s="44"/>
      <c r="AI262" s="44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44"/>
      <c r="AC263" s="44"/>
      <c r="AD263" s="44"/>
      <c r="AE263" s="44"/>
      <c r="AF263" s="44"/>
      <c r="AG263" s="44"/>
      <c r="AH263" s="44"/>
      <c r="AI263" s="44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44"/>
      <c r="AC264" s="44"/>
      <c r="AD264" s="44"/>
      <c r="AE264" s="44"/>
      <c r="AF264" s="44"/>
      <c r="AG264" s="44"/>
      <c r="AH264" s="44"/>
      <c r="AI264" s="44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44"/>
      <c r="AC265" s="44"/>
      <c r="AD265" s="44"/>
      <c r="AE265" s="44"/>
      <c r="AF265" s="44"/>
      <c r="AG265" s="44"/>
      <c r="AH265" s="44"/>
      <c r="AI265" s="44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44"/>
      <c r="AC266" s="44"/>
      <c r="AD266" s="44"/>
      <c r="AE266" s="44"/>
      <c r="AF266" s="44"/>
      <c r="AG266" s="44"/>
      <c r="AH266" s="44"/>
      <c r="AI266" s="44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44"/>
      <c r="AC267" s="44"/>
      <c r="AD267" s="44"/>
      <c r="AE267" s="44"/>
      <c r="AF267" s="44"/>
      <c r="AG267" s="44"/>
      <c r="AH267" s="44"/>
      <c r="AI267" s="44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44"/>
      <c r="AC268" s="44"/>
      <c r="AD268" s="44"/>
      <c r="AE268" s="44"/>
      <c r="AF268" s="44"/>
      <c r="AG268" s="44"/>
      <c r="AH268" s="44"/>
      <c r="AI268" s="44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44"/>
      <c r="AC269" s="44"/>
      <c r="AD269" s="44"/>
      <c r="AE269" s="44"/>
      <c r="AF269" s="44"/>
      <c r="AG269" s="44"/>
      <c r="AH269" s="44"/>
      <c r="AI269" s="44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44"/>
      <c r="AC270" s="44"/>
      <c r="AD270" s="44"/>
      <c r="AE270" s="44"/>
      <c r="AF270" s="44"/>
      <c r="AG270" s="44"/>
      <c r="AH270" s="44"/>
      <c r="AI270" s="44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44"/>
      <c r="AC271" s="44"/>
      <c r="AD271" s="44"/>
      <c r="AE271" s="44"/>
      <c r="AF271" s="44"/>
      <c r="AG271" s="44"/>
      <c r="AH271" s="44"/>
      <c r="AI271" s="44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44"/>
      <c r="AC272" s="44"/>
      <c r="AD272" s="44"/>
      <c r="AE272" s="44"/>
      <c r="AF272" s="44"/>
      <c r="AG272" s="44"/>
      <c r="AH272" s="44"/>
      <c r="AI272" s="44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44"/>
      <c r="AC273" s="44"/>
      <c r="AD273" s="44"/>
      <c r="AE273" s="44"/>
      <c r="AF273" s="44"/>
      <c r="AG273" s="44"/>
      <c r="AH273" s="44"/>
      <c r="AI273" s="44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44"/>
      <c r="AC274" s="44"/>
      <c r="AD274" s="44"/>
      <c r="AE274" s="44"/>
      <c r="AF274" s="44"/>
      <c r="AG274" s="44"/>
      <c r="AH274" s="44"/>
      <c r="AI274" s="44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44"/>
      <c r="AC275" s="44"/>
      <c r="AD275" s="44"/>
      <c r="AE275" s="44"/>
      <c r="AF275" s="44"/>
      <c r="AG275" s="44"/>
      <c r="AH275" s="44"/>
      <c r="AI275" s="44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44"/>
      <c r="AC276" s="44"/>
      <c r="AD276" s="44"/>
      <c r="AE276" s="44"/>
      <c r="AF276" s="44"/>
      <c r="AG276" s="44"/>
      <c r="AH276" s="44"/>
      <c r="AI276" s="44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44"/>
      <c r="AC277" s="44"/>
      <c r="AD277" s="44"/>
      <c r="AE277" s="44"/>
      <c r="AF277" s="44"/>
      <c r="AG277" s="44"/>
      <c r="AH277" s="44"/>
      <c r="AI277" s="44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44"/>
      <c r="AC278" s="44"/>
      <c r="AD278" s="44"/>
      <c r="AE278" s="44"/>
      <c r="AF278" s="44"/>
      <c r="AG278" s="44"/>
      <c r="AH278" s="44"/>
      <c r="AI278" s="44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44"/>
      <c r="AC279" s="44"/>
      <c r="AD279" s="44"/>
      <c r="AE279" s="44"/>
      <c r="AF279" s="44"/>
      <c r="AG279" s="44"/>
      <c r="AH279" s="44"/>
      <c r="AI279" s="44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44"/>
      <c r="AC280" s="44"/>
      <c r="AD280" s="44"/>
      <c r="AE280" s="44"/>
      <c r="AF280" s="44"/>
      <c r="AG280" s="44"/>
      <c r="AH280" s="44"/>
      <c r="AI280" s="44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44"/>
      <c r="AC281" s="44"/>
      <c r="AD281" s="44"/>
      <c r="AE281" s="44"/>
      <c r="AF281" s="44"/>
      <c r="AG281" s="44"/>
      <c r="AH281" s="44"/>
      <c r="AI281" s="44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44"/>
      <c r="AC282" s="44"/>
      <c r="AD282" s="44"/>
      <c r="AE282" s="44"/>
      <c r="AF282" s="44"/>
      <c r="AG282" s="44"/>
      <c r="AH282" s="44"/>
      <c r="AI282" s="44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44"/>
      <c r="AC283" s="44"/>
      <c r="AD283" s="44"/>
      <c r="AE283" s="44"/>
      <c r="AF283" s="44"/>
      <c r="AG283" s="44"/>
      <c r="AH283" s="44"/>
      <c r="AI283" s="44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44"/>
      <c r="AC284" s="44"/>
      <c r="AD284" s="44"/>
      <c r="AE284" s="44"/>
      <c r="AF284" s="44"/>
      <c r="AG284" s="44"/>
      <c r="AH284" s="44"/>
      <c r="AI284" s="44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44"/>
      <c r="AC285" s="44"/>
      <c r="AD285" s="44"/>
      <c r="AE285" s="44"/>
      <c r="AF285" s="44"/>
      <c r="AG285" s="44"/>
      <c r="AH285" s="44"/>
      <c r="AI285" s="44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44"/>
      <c r="AC286" s="44"/>
      <c r="AD286" s="44"/>
      <c r="AE286" s="44"/>
      <c r="AF286" s="44"/>
      <c r="AG286" s="44"/>
      <c r="AH286" s="44"/>
      <c r="AI286" s="44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44"/>
      <c r="AC287" s="44"/>
      <c r="AD287" s="44"/>
      <c r="AE287" s="44"/>
      <c r="AF287" s="44"/>
      <c r="AG287" s="44"/>
      <c r="AH287" s="44"/>
      <c r="AI287" s="44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44"/>
      <c r="AC288" s="44"/>
      <c r="AD288" s="44"/>
      <c r="AE288" s="44"/>
      <c r="AF288" s="44"/>
      <c r="AG288" s="44"/>
      <c r="AH288" s="44"/>
      <c r="AI288" s="44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44"/>
      <c r="AC289" s="44"/>
      <c r="AD289" s="44"/>
      <c r="AE289" s="44"/>
      <c r="AF289" s="44"/>
      <c r="AG289" s="44"/>
      <c r="AH289" s="44"/>
      <c r="AI289" s="44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44"/>
      <c r="AC290" s="44"/>
      <c r="AD290" s="44"/>
      <c r="AE290" s="44"/>
      <c r="AF290" s="44"/>
      <c r="AG290" s="44"/>
      <c r="AH290" s="44"/>
      <c r="AI290" s="44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44"/>
      <c r="AC291" s="44"/>
      <c r="AD291" s="44"/>
      <c r="AE291" s="44"/>
      <c r="AF291" s="44"/>
      <c r="AG291" s="44"/>
      <c r="AH291" s="44"/>
      <c r="AI291" s="44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44"/>
      <c r="AC292" s="44"/>
      <c r="AD292" s="44"/>
      <c r="AE292" s="44"/>
      <c r="AF292" s="44"/>
      <c r="AG292" s="44"/>
      <c r="AH292" s="44"/>
      <c r="AI292" s="44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44"/>
      <c r="AC293" s="44"/>
      <c r="AD293" s="44"/>
      <c r="AE293" s="44"/>
      <c r="AF293" s="44"/>
      <c r="AG293" s="44"/>
      <c r="AH293" s="44"/>
      <c r="AI293" s="44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44"/>
      <c r="AC294" s="44"/>
      <c r="AD294" s="44"/>
      <c r="AE294" s="44"/>
      <c r="AF294" s="44"/>
      <c r="AG294" s="44"/>
      <c r="AH294" s="44"/>
      <c r="AI294" s="44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44"/>
      <c r="AC295" s="44"/>
      <c r="AD295" s="44"/>
      <c r="AE295" s="44"/>
      <c r="AF295" s="44"/>
      <c r="AG295" s="44"/>
      <c r="AH295" s="44"/>
      <c r="AI295" s="44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44"/>
      <c r="AC296" s="44"/>
      <c r="AD296" s="44"/>
      <c r="AE296" s="44"/>
      <c r="AF296" s="44"/>
      <c r="AG296" s="44"/>
      <c r="AH296" s="44"/>
      <c r="AI296" s="44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44"/>
      <c r="AC297" s="44"/>
      <c r="AD297" s="44"/>
      <c r="AE297" s="44"/>
      <c r="AF297" s="44"/>
      <c r="AG297" s="44"/>
      <c r="AH297" s="44"/>
      <c r="AI297" s="44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44"/>
      <c r="AC298" s="44"/>
      <c r="AD298" s="44"/>
      <c r="AE298" s="44"/>
      <c r="AF298" s="44"/>
      <c r="AG298" s="44"/>
      <c r="AH298" s="44"/>
      <c r="AI298" s="44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44"/>
      <c r="AC299" s="44"/>
      <c r="AD299" s="44"/>
      <c r="AE299" s="44"/>
      <c r="AF299" s="44"/>
      <c r="AG299" s="44"/>
      <c r="AH299" s="44"/>
      <c r="AI299" s="44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44"/>
      <c r="AC300" s="44"/>
      <c r="AD300" s="44"/>
      <c r="AE300" s="44"/>
      <c r="AF300" s="44"/>
      <c r="AG300" s="44"/>
      <c r="AH300" s="44"/>
      <c r="AI300" s="44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44"/>
      <c r="AC301" s="44"/>
      <c r="AD301" s="44"/>
      <c r="AE301" s="44"/>
      <c r="AF301" s="44"/>
      <c r="AG301" s="44"/>
      <c r="AH301" s="44"/>
      <c r="AI301" s="44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44"/>
      <c r="AC302" s="44"/>
      <c r="AD302" s="44"/>
      <c r="AE302" s="44"/>
      <c r="AF302" s="44"/>
      <c r="AG302" s="44"/>
      <c r="AH302" s="44"/>
      <c r="AI302" s="44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44"/>
      <c r="AC303" s="44"/>
      <c r="AD303" s="44"/>
      <c r="AE303" s="44"/>
      <c r="AF303" s="44"/>
      <c r="AG303" s="44"/>
      <c r="AH303" s="44"/>
      <c r="AI303" s="44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44"/>
      <c r="AC304" s="44"/>
      <c r="AD304" s="44"/>
      <c r="AE304" s="44"/>
      <c r="AF304" s="44"/>
      <c r="AG304" s="44"/>
      <c r="AH304" s="44"/>
      <c r="AI304" s="44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44"/>
      <c r="AC305" s="44"/>
      <c r="AD305" s="44"/>
      <c r="AE305" s="44"/>
      <c r="AF305" s="44"/>
      <c r="AG305" s="44"/>
      <c r="AH305" s="44"/>
      <c r="AI305" s="44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44"/>
      <c r="AC306" s="44"/>
      <c r="AD306" s="44"/>
      <c r="AE306" s="44"/>
      <c r="AF306" s="44"/>
      <c r="AG306" s="44"/>
      <c r="AH306" s="44"/>
      <c r="AI306" s="44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44"/>
      <c r="AC307" s="44"/>
      <c r="AD307" s="44"/>
      <c r="AE307" s="44"/>
      <c r="AF307" s="44"/>
      <c r="AG307" s="44"/>
      <c r="AH307" s="44"/>
      <c r="AI307" s="44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44"/>
      <c r="AC308" s="44"/>
      <c r="AD308" s="44"/>
      <c r="AE308" s="44"/>
      <c r="AF308" s="44"/>
      <c r="AG308" s="44"/>
      <c r="AH308" s="44"/>
      <c r="AI308" s="44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44"/>
      <c r="AC309" s="44"/>
      <c r="AD309" s="44"/>
      <c r="AE309" s="44"/>
      <c r="AF309" s="44"/>
      <c r="AG309" s="44"/>
      <c r="AH309" s="44"/>
      <c r="AI309" s="44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44"/>
      <c r="AC310" s="44"/>
      <c r="AD310" s="44"/>
      <c r="AE310" s="44"/>
      <c r="AF310" s="44"/>
      <c r="AG310" s="44"/>
      <c r="AH310" s="44"/>
      <c r="AI310" s="44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44"/>
      <c r="AC311" s="44"/>
      <c r="AD311" s="44"/>
      <c r="AE311" s="44"/>
      <c r="AF311" s="44"/>
      <c r="AG311" s="44"/>
      <c r="AH311" s="44"/>
      <c r="AI311" s="44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44"/>
      <c r="AC312" s="44"/>
      <c r="AD312" s="44"/>
      <c r="AE312" s="44"/>
      <c r="AF312" s="44"/>
      <c r="AG312" s="44"/>
      <c r="AH312" s="44"/>
      <c r="AI312" s="44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44"/>
      <c r="AC313" s="44"/>
      <c r="AD313" s="44"/>
      <c r="AE313" s="44"/>
      <c r="AF313" s="44"/>
      <c r="AG313" s="44"/>
      <c r="AH313" s="44"/>
      <c r="AI313" s="44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44"/>
      <c r="AC314" s="44"/>
      <c r="AD314" s="44"/>
      <c r="AE314" s="44"/>
      <c r="AF314" s="44"/>
      <c r="AG314" s="44"/>
      <c r="AH314" s="44"/>
      <c r="AI314" s="44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44"/>
      <c r="AC315" s="44"/>
      <c r="AD315" s="44"/>
      <c r="AE315" s="44"/>
      <c r="AF315" s="44"/>
      <c r="AG315" s="44"/>
      <c r="AH315" s="44"/>
      <c r="AI315" s="44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44"/>
      <c r="AC316" s="44"/>
      <c r="AD316" s="44"/>
      <c r="AE316" s="44"/>
      <c r="AF316" s="44"/>
      <c r="AG316" s="44"/>
      <c r="AH316" s="44"/>
      <c r="AI316" s="44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44"/>
      <c r="AC317" s="44"/>
      <c r="AD317" s="44"/>
      <c r="AE317" s="44"/>
      <c r="AF317" s="44"/>
      <c r="AG317" s="44"/>
      <c r="AH317" s="44"/>
      <c r="AI317" s="44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44"/>
      <c r="AC318" s="44"/>
      <c r="AD318" s="44"/>
      <c r="AE318" s="44"/>
      <c r="AF318" s="44"/>
      <c r="AG318" s="44"/>
      <c r="AH318" s="44"/>
      <c r="AI318" s="44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44"/>
      <c r="AC319" s="44"/>
      <c r="AD319" s="44"/>
      <c r="AE319" s="44"/>
      <c r="AF319" s="44"/>
      <c r="AG319" s="44"/>
      <c r="AH319" s="44"/>
      <c r="AI319" s="44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44"/>
      <c r="AC320" s="44"/>
      <c r="AD320" s="44"/>
      <c r="AE320" s="44"/>
      <c r="AF320" s="44"/>
      <c r="AG320" s="44"/>
      <c r="AH320" s="44"/>
      <c r="AI320" s="44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44"/>
      <c r="AC321" s="44"/>
      <c r="AD321" s="44"/>
      <c r="AE321" s="44"/>
      <c r="AF321" s="44"/>
      <c r="AG321" s="44"/>
      <c r="AH321" s="44"/>
      <c r="AI321" s="44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44"/>
      <c r="AC322" s="44"/>
      <c r="AD322" s="44"/>
      <c r="AE322" s="44"/>
      <c r="AF322" s="44"/>
      <c r="AG322" s="44"/>
      <c r="AH322" s="44"/>
      <c r="AI322" s="44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44"/>
      <c r="AC323" s="44"/>
      <c r="AD323" s="44"/>
      <c r="AE323" s="44"/>
      <c r="AF323" s="44"/>
      <c r="AG323" s="44"/>
      <c r="AH323" s="44"/>
      <c r="AI323" s="44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44"/>
      <c r="AC324" s="44"/>
      <c r="AD324" s="44"/>
      <c r="AE324" s="44"/>
      <c r="AF324" s="44"/>
      <c r="AG324" s="44"/>
      <c r="AH324" s="44"/>
      <c r="AI324" s="44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44"/>
      <c r="AC325" s="44"/>
      <c r="AD325" s="44"/>
      <c r="AE325" s="44"/>
      <c r="AF325" s="44"/>
      <c r="AG325" s="44"/>
      <c r="AH325" s="44"/>
      <c r="AI325" s="44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44"/>
      <c r="AC326" s="44"/>
      <c r="AD326" s="44"/>
      <c r="AE326" s="44"/>
      <c r="AF326" s="44"/>
      <c r="AG326" s="44"/>
      <c r="AH326" s="44"/>
      <c r="AI326" s="44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44"/>
      <c r="AC327" s="44"/>
      <c r="AD327" s="44"/>
      <c r="AE327" s="44"/>
      <c r="AF327" s="44"/>
      <c r="AG327" s="44"/>
      <c r="AH327" s="44"/>
      <c r="AI327" s="44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44"/>
      <c r="AC328" s="44"/>
      <c r="AD328" s="44"/>
      <c r="AE328" s="44"/>
      <c r="AF328" s="44"/>
      <c r="AG328" s="44"/>
      <c r="AH328" s="44"/>
      <c r="AI328" s="44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44"/>
      <c r="AC329" s="44"/>
      <c r="AD329" s="44"/>
      <c r="AE329" s="44"/>
      <c r="AF329" s="44"/>
      <c r="AG329" s="44"/>
      <c r="AH329" s="44"/>
      <c r="AI329" s="44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44"/>
      <c r="AC330" s="44"/>
      <c r="AD330" s="44"/>
      <c r="AE330" s="44"/>
      <c r="AF330" s="44"/>
      <c r="AG330" s="44"/>
      <c r="AH330" s="44"/>
      <c r="AI330" s="44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44"/>
      <c r="AC331" s="44"/>
      <c r="AD331" s="44"/>
      <c r="AE331" s="44"/>
      <c r="AF331" s="44"/>
      <c r="AG331" s="44"/>
      <c r="AH331" s="44"/>
      <c r="AI331" s="44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44"/>
      <c r="AC332" s="44"/>
      <c r="AD332" s="44"/>
      <c r="AE332" s="44"/>
      <c r="AF332" s="44"/>
      <c r="AG332" s="44"/>
      <c r="AH332" s="44"/>
      <c r="AI332" s="44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44"/>
      <c r="AC333" s="44"/>
      <c r="AD333" s="44"/>
      <c r="AE333" s="44"/>
      <c r="AF333" s="44"/>
      <c r="AG333" s="44"/>
      <c r="AH333" s="44"/>
      <c r="AI333" s="44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44"/>
      <c r="AC334" s="44"/>
      <c r="AD334" s="44"/>
      <c r="AE334" s="44"/>
      <c r="AF334" s="44"/>
      <c r="AG334" s="44"/>
      <c r="AH334" s="44"/>
      <c r="AI334" s="44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44"/>
      <c r="AC335" s="44"/>
      <c r="AD335" s="44"/>
      <c r="AE335" s="44"/>
      <c r="AF335" s="44"/>
      <c r="AG335" s="44"/>
      <c r="AH335" s="44"/>
      <c r="AI335" s="44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44"/>
      <c r="AC336" s="44"/>
      <c r="AD336" s="44"/>
      <c r="AE336" s="44"/>
      <c r="AF336" s="44"/>
      <c r="AG336" s="44"/>
      <c r="AH336" s="44"/>
      <c r="AI336" s="44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44"/>
      <c r="AC337" s="44"/>
      <c r="AD337" s="44"/>
      <c r="AE337" s="44"/>
      <c r="AF337" s="44"/>
      <c r="AG337" s="44"/>
      <c r="AH337" s="44"/>
      <c r="AI337" s="44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44"/>
      <c r="AC338" s="44"/>
      <c r="AD338" s="44"/>
      <c r="AE338" s="44"/>
      <c r="AF338" s="44"/>
      <c r="AG338" s="44"/>
      <c r="AH338" s="44"/>
      <c r="AI338" s="44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44"/>
      <c r="AC339" s="44"/>
      <c r="AD339" s="44"/>
      <c r="AE339" s="44"/>
      <c r="AF339" s="44"/>
      <c r="AG339" s="44"/>
      <c r="AH339" s="44"/>
      <c r="AI339" s="44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44"/>
      <c r="AC340" s="44"/>
      <c r="AD340" s="44"/>
      <c r="AE340" s="44"/>
      <c r="AF340" s="44"/>
      <c r="AG340" s="44"/>
      <c r="AH340" s="44"/>
      <c r="AI340" s="44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44"/>
      <c r="AC341" s="44"/>
      <c r="AD341" s="44"/>
      <c r="AE341" s="44"/>
      <c r="AF341" s="44"/>
      <c r="AG341" s="44"/>
      <c r="AH341" s="44"/>
      <c r="AI341" s="44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44"/>
      <c r="AC342" s="44"/>
      <c r="AD342" s="44"/>
      <c r="AE342" s="44"/>
      <c r="AF342" s="44"/>
      <c r="AG342" s="44"/>
      <c r="AH342" s="44"/>
      <c r="AI342" s="44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44"/>
      <c r="AC343" s="44"/>
      <c r="AD343" s="44"/>
      <c r="AE343" s="44"/>
      <c r="AF343" s="44"/>
      <c r="AG343" s="44"/>
      <c r="AH343" s="44"/>
      <c r="AI343" s="44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44"/>
      <c r="AC344" s="44"/>
      <c r="AD344" s="44"/>
      <c r="AE344" s="44"/>
      <c r="AF344" s="44"/>
      <c r="AG344" s="44"/>
      <c r="AH344" s="44"/>
      <c r="AI344" s="44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44"/>
      <c r="AC345" s="44"/>
      <c r="AD345" s="44"/>
      <c r="AE345" s="44"/>
      <c r="AF345" s="44"/>
      <c r="AG345" s="44"/>
      <c r="AH345" s="44"/>
      <c r="AI345" s="44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44"/>
      <c r="AC346" s="44"/>
      <c r="AD346" s="44"/>
      <c r="AE346" s="44"/>
      <c r="AF346" s="44"/>
      <c r="AG346" s="44"/>
      <c r="AH346" s="44"/>
      <c r="AI346" s="44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44"/>
      <c r="AC347" s="44"/>
      <c r="AD347" s="44"/>
      <c r="AE347" s="44"/>
      <c r="AF347" s="44"/>
      <c r="AG347" s="44"/>
      <c r="AH347" s="44"/>
      <c r="AI347" s="44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44"/>
      <c r="AC348" s="44"/>
      <c r="AD348" s="44"/>
      <c r="AE348" s="44"/>
      <c r="AF348" s="44"/>
      <c r="AG348" s="44"/>
      <c r="AH348" s="44"/>
      <c r="AI348" s="44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44"/>
      <c r="AC349" s="44"/>
      <c r="AD349" s="44"/>
      <c r="AE349" s="44"/>
      <c r="AF349" s="44"/>
      <c r="AG349" s="44"/>
      <c r="AH349" s="44"/>
      <c r="AI349" s="44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44"/>
      <c r="AC350" s="44"/>
      <c r="AD350" s="44"/>
      <c r="AE350" s="44"/>
      <c r="AF350" s="44"/>
      <c r="AG350" s="44"/>
      <c r="AH350" s="44"/>
      <c r="AI350" s="44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44"/>
      <c r="AC351" s="44"/>
      <c r="AD351" s="44"/>
      <c r="AE351" s="44"/>
      <c r="AF351" s="44"/>
      <c r="AG351" s="44"/>
      <c r="AH351" s="44"/>
      <c r="AI351" s="44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44"/>
      <c r="AC352" s="44"/>
      <c r="AD352" s="44"/>
      <c r="AE352" s="44"/>
      <c r="AF352" s="44"/>
      <c r="AG352" s="44"/>
      <c r="AH352" s="44"/>
      <c r="AI352" s="44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44"/>
      <c r="AC353" s="44"/>
      <c r="AD353" s="44"/>
      <c r="AE353" s="44"/>
      <c r="AF353" s="44"/>
      <c r="AG353" s="44"/>
      <c r="AH353" s="44"/>
      <c r="AI353" s="44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44"/>
      <c r="AC354" s="44"/>
      <c r="AD354" s="44"/>
      <c r="AE354" s="44"/>
      <c r="AF354" s="44"/>
      <c r="AG354" s="44"/>
      <c r="AH354" s="44"/>
      <c r="AI354" s="44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44"/>
      <c r="AC355" s="44"/>
      <c r="AD355" s="44"/>
      <c r="AE355" s="44"/>
      <c r="AF355" s="44"/>
      <c r="AG355" s="44"/>
      <c r="AH355" s="44"/>
      <c r="AI355" s="44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44"/>
      <c r="AC356" s="44"/>
      <c r="AD356" s="44"/>
      <c r="AE356" s="44"/>
      <c r="AF356" s="44"/>
      <c r="AG356" s="44"/>
      <c r="AH356" s="44"/>
      <c r="AI356" s="44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44"/>
      <c r="AC357" s="44"/>
      <c r="AD357" s="44"/>
      <c r="AE357" s="44"/>
      <c r="AF357" s="44"/>
      <c r="AG357" s="44"/>
      <c r="AH357" s="44"/>
      <c r="AI357" s="44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44"/>
      <c r="AC358" s="44"/>
      <c r="AD358" s="44"/>
      <c r="AE358" s="44"/>
      <c r="AF358" s="44"/>
      <c r="AG358" s="44"/>
      <c r="AH358" s="44"/>
      <c r="AI358" s="44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44"/>
      <c r="AC359" s="44"/>
      <c r="AD359" s="44"/>
      <c r="AE359" s="44"/>
      <c r="AF359" s="44"/>
      <c r="AG359" s="44"/>
      <c r="AH359" s="44"/>
      <c r="AI359" s="44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44"/>
      <c r="AC360" s="44"/>
      <c r="AD360" s="44"/>
      <c r="AE360" s="44"/>
      <c r="AF360" s="44"/>
      <c r="AG360" s="44"/>
      <c r="AH360" s="44"/>
      <c r="AI360" s="44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44"/>
      <c r="AC361" s="44"/>
      <c r="AD361" s="44"/>
      <c r="AE361" s="44"/>
      <c r="AF361" s="44"/>
      <c r="AG361" s="44"/>
      <c r="AH361" s="44"/>
      <c r="AI361" s="44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44"/>
      <c r="AC362" s="44"/>
      <c r="AD362" s="44"/>
      <c r="AE362" s="44"/>
      <c r="AF362" s="44"/>
      <c r="AG362" s="44"/>
      <c r="AH362" s="44"/>
      <c r="AI362" s="44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44"/>
      <c r="AC363" s="44"/>
      <c r="AD363" s="44"/>
      <c r="AE363" s="44"/>
      <c r="AF363" s="44"/>
      <c r="AG363" s="44"/>
      <c r="AH363" s="44"/>
      <c r="AI363" s="44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44"/>
      <c r="AC364" s="44"/>
      <c r="AD364" s="44"/>
      <c r="AE364" s="44"/>
      <c r="AF364" s="44"/>
      <c r="AG364" s="44"/>
      <c r="AH364" s="44"/>
      <c r="AI364" s="44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44"/>
      <c r="AC365" s="44"/>
      <c r="AD365" s="44"/>
      <c r="AE365" s="44"/>
      <c r="AF365" s="44"/>
      <c r="AG365" s="44"/>
      <c r="AH365" s="44"/>
      <c r="AI365" s="44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44"/>
      <c r="AC366" s="44"/>
      <c r="AD366" s="44"/>
      <c r="AE366" s="44"/>
      <c r="AF366" s="44"/>
      <c r="AG366" s="44"/>
      <c r="AH366" s="44"/>
      <c r="AI366" s="44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44"/>
      <c r="AC367" s="44"/>
      <c r="AD367" s="44"/>
      <c r="AE367" s="44"/>
      <c r="AF367" s="44"/>
      <c r="AG367" s="44"/>
      <c r="AH367" s="44"/>
      <c r="AI367" s="44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44"/>
      <c r="AC368" s="44"/>
      <c r="AD368" s="44"/>
      <c r="AE368" s="44"/>
      <c r="AF368" s="44"/>
      <c r="AG368" s="44"/>
      <c r="AH368" s="44"/>
      <c r="AI368" s="44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44"/>
      <c r="AC369" s="44"/>
      <c r="AD369" s="44"/>
      <c r="AE369" s="44"/>
      <c r="AF369" s="44"/>
      <c r="AG369" s="44"/>
      <c r="AH369" s="44"/>
      <c r="AI369" s="44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44"/>
      <c r="AC370" s="44"/>
      <c r="AD370" s="44"/>
      <c r="AE370" s="44"/>
      <c r="AF370" s="44"/>
      <c r="AG370" s="44"/>
      <c r="AH370" s="44"/>
      <c r="AI370" s="44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44"/>
      <c r="AC371" s="44"/>
      <c r="AD371" s="44"/>
      <c r="AE371" s="44"/>
      <c r="AF371" s="44"/>
      <c r="AG371" s="44"/>
      <c r="AH371" s="44"/>
      <c r="AI371" s="44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44"/>
      <c r="AC372" s="44"/>
      <c r="AD372" s="44"/>
      <c r="AE372" s="44"/>
      <c r="AF372" s="44"/>
      <c r="AG372" s="44"/>
      <c r="AH372" s="44"/>
      <c r="AI372" s="44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44"/>
      <c r="AC373" s="44"/>
      <c r="AD373" s="44"/>
      <c r="AE373" s="44"/>
      <c r="AF373" s="44"/>
      <c r="AG373" s="44"/>
      <c r="AH373" s="44"/>
      <c r="AI373" s="44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44"/>
      <c r="AC374" s="44"/>
      <c r="AD374" s="44"/>
      <c r="AE374" s="44"/>
      <c r="AF374" s="44"/>
      <c r="AG374" s="44"/>
      <c r="AH374" s="44"/>
      <c r="AI374" s="44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44"/>
      <c r="AC375" s="44"/>
      <c r="AD375" s="44"/>
      <c r="AE375" s="44"/>
      <c r="AF375" s="44"/>
      <c r="AG375" s="44"/>
      <c r="AH375" s="44"/>
      <c r="AI375" s="44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44"/>
      <c r="AC376" s="44"/>
      <c r="AD376" s="44"/>
      <c r="AE376" s="44"/>
      <c r="AF376" s="44"/>
      <c r="AG376" s="44"/>
      <c r="AH376" s="44"/>
      <c r="AI376" s="44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44"/>
      <c r="AC377" s="44"/>
      <c r="AD377" s="44"/>
      <c r="AE377" s="44"/>
      <c r="AF377" s="44"/>
      <c r="AG377" s="44"/>
      <c r="AH377" s="44"/>
      <c r="AI377" s="44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44"/>
      <c r="AC378" s="44"/>
      <c r="AD378" s="44"/>
      <c r="AE378" s="44"/>
      <c r="AF378" s="44"/>
      <c r="AG378" s="44"/>
      <c r="AH378" s="44"/>
      <c r="AI378" s="44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44"/>
      <c r="AC379" s="44"/>
      <c r="AD379" s="44"/>
      <c r="AE379" s="44"/>
      <c r="AF379" s="44"/>
      <c r="AG379" s="44"/>
      <c r="AH379" s="44"/>
      <c r="AI379" s="44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44"/>
      <c r="AC380" s="44"/>
      <c r="AD380" s="44"/>
      <c r="AE380" s="44"/>
      <c r="AF380" s="44"/>
      <c r="AG380" s="44"/>
      <c r="AH380" s="44"/>
      <c r="AI380" s="44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44"/>
      <c r="AC381" s="44"/>
      <c r="AD381" s="44"/>
      <c r="AE381" s="44"/>
      <c r="AF381" s="44"/>
      <c r="AG381" s="44"/>
      <c r="AH381" s="44"/>
      <c r="AI381" s="44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44"/>
      <c r="AC382" s="44"/>
      <c r="AD382" s="44"/>
      <c r="AE382" s="44"/>
      <c r="AF382" s="44"/>
      <c r="AG382" s="44"/>
      <c r="AH382" s="44"/>
      <c r="AI382" s="44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44"/>
      <c r="AC383" s="44"/>
      <c r="AD383" s="44"/>
      <c r="AE383" s="44"/>
      <c r="AF383" s="44"/>
      <c r="AG383" s="44"/>
      <c r="AH383" s="44"/>
      <c r="AI383" s="44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44"/>
      <c r="AC384" s="44"/>
      <c r="AD384" s="44"/>
      <c r="AE384" s="44"/>
      <c r="AF384" s="44"/>
      <c r="AG384" s="44"/>
      <c r="AH384" s="44"/>
      <c r="AI384" s="44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44"/>
      <c r="AC385" s="44"/>
      <c r="AD385" s="44"/>
      <c r="AE385" s="44"/>
      <c r="AF385" s="44"/>
      <c r="AG385" s="44"/>
      <c r="AH385" s="44"/>
      <c r="AI385" s="44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44"/>
      <c r="AC386" s="44"/>
      <c r="AD386" s="44"/>
      <c r="AE386" s="44"/>
      <c r="AF386" s="44"/>
      <c r="AG386" s="44"/>
      <c r="AH386" s="44"/>
      <c r="AI386" s="44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44"/>
      <c r="AC387" s="44"/>
      <c r="AD387" s="44"/>
      <c r="AE387" s="44"/>
      <c r="AF387" s="44"/>
      <c r="AG387" s="44"/>
      <c r="AH387" s="44"/>
      <c r="AI387" s="44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44"/>
      <c r="AC388" s="44"/>
      <c r="AD388" s="44"/>
      <c r="AE388" s="44"/>
      <c r="AF388" s="44"/>
      <c r="AG388" s="44"/>
      <c r="AH388" s="44"/>
      <c r="AI388" s="44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44"/>
      <c r="AC389" s="44"/>
      <c r="AD389" s="44"/>
      <c r="AE389" s="44"/>
      <c r="AF389" s="44"/>
      <c r="AG389" s="44"/>
      <c r="AH389" s="44"/>
      <c r="AI389" s="44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44"/>
      <c r="AC390" s="44"/>
      <c r="AD390" s="44"/>
      <c r="AE390" s="44"/>
      <c r="AF390" s="44"/>
      <c r="AG390" s="44"/>
      <c r="AH390" s="44"/>
      <c r="AI390" s="44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44"/>
      <c r="AC391" s="44"/>
      <c r="AD391" s="44"/>
      <c r="AE391" s="44"/>
      <c r="AF391" s="44"/>
      <c r="AG391" s="44"/>
      <c r="AH391" s="44"/>
      <c r="AI391" s="44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44"/>
      <c r="AC392" s="44"/>
      <c r="AD392" s="44"/>
      <c r="AE392" s="44"/>
      <c r="AF392" s="44"/>
      <c r="AG392" s="44"/>
      <c r="AH392" s="44"/>
      <c r="AI392" s="44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44"/>
      <c r="AC393" s="44"/>
      <c r="AD393" s="44"/>
      <c r="AE393" s="44"/>
      <c r="AF393" s="44"/>
      <c r="AG393" s="44"/>
      <c r="AH393" s="44"/>
      <c r="AI393" s="44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44"/>
      <c r="AC394" s="44"/>
      <c r="AD394" s="44"/>
      <c r="AE394" s="44"/>
      <c r="AF394" s="44"/>
      <c r="AG394" s="44"/>
      <c r="AH394" s="44"/>
      <c r="AI394" s="44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44"/>
      <c r="AC395" s="44"/>
      <c r="AD395" s="44"/>
      <c r="AE395" s="44"/>
      <c r="AF395" s="44"/>
      <c r="AG395" s="44"/>
      <c r="AH395" s="44"/>
      <c r="AI395" s="44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44"/>
      <c r="AC396" s="44"/>
      <c r="AD396" s="44"/>
      <c r="AE396" s="44"/>
      <c r="AF396" s="44"/>
      <c r="AG396" s="44"/>
      <c r="AH396" s="44"/>
      <c r="AI396" s="44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44"/>
      <c r="AC397" s="44"/>
      <c r="AD397" s="44"/>
      <c r="AE397" s="44"/>
      <c r="AF397" s="44"/>
      <c r="AG397" s="44"/>
      <c r="AH397" s="44"/>
      <c r="AI397" s="44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44"/>
      <c r="AC398" s="44"/>
      <c r="AD398" s="44"/>
      <c r="AE398" s="44"/>
      <c r="AF398" s="44"/>
      <c r="AG398" s="44"/>
      <c r="AH398" s="44"/>
      <c r="AI398" s="44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44"/>
      <c r="AC399" s="44"/>
      <c r="AD399" s="44"/>
      <c r="AE399" s="44"/>
      <c r="AF399" s="44"/>
      <c r="AG399" s="44"/>
      <c r="AH399" s="44"/>
      <c r="AI399" s="44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44"/>
      <c r="AC400" s="44"/>
      <c r="AD400" s="44"/>
      <c r="AE400" s="44"/>
      <c r="AF400" s="44"/>
      <c r="AG400" s="44"/>
      <c r="AH400" s="44"/>
      <c r="AI400" s="44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44"/>
      <c r="AC401" s="44"/>
      <c r="AD401" s="44"/>
      <c r="AE401" s="44"/>
      <c r="AF401" s="44"/>
      <c r="AG401" s="44"/>
      <c r="AH401" s="44"/>
      <c r="AI401" s="44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44"/>
      <c r="AC402" s="44"/>
      <c r="AD402" s="44"/>
      <c r="AE402" s="44"/>
      <c r="AF402" s="44"/>
      <c r="AG402" s="44"/>
      <c r="AH402" s="44"/>
      <c r="AI402" s="44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44"/>
      <c r="AC403" s="44"/>
      <c r="AD403" s="44"/>
      <c r="AE403" s="44"/>
      <c r="AF403" s="44"/>
      <c r="AG403" s="44"/>
      <c r="AH403" s="44"/>
      <c r="AI403" s="44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44"/>
      <c r="AC404" s="44"/>
      <c r="AD404" s="44"/>
      <c r="AE404" s="44"/>
      <c r="AF404" s="44"/>
      <c r="AG404" s="44"/>
      <c r="AH404" s="44"/>
      <c r="AI404" s="44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44"/>
      <c r="AC405" s="44"/>
      <c r="AD405" s="44"/>
      <c r="AE405" s="44"/>
      <c r="AF405" s="44"/>
      <c r="AG405" s="44"/>
      <c r="AH405" s="44"/>
      <c r="AI405" s="44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44"/>
      <c r="AC406" s="44"/>
      <c r="AD406" s="44"/>
      <c r="AE406" s="44"/>
      <c r="AF406" s="44"/>
      <c r="AG406" s="44"/>
      <c r="AH406" s="44"/>
      <c r="AI406" s="44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44"/>
      <c r="AC407" s="44"/>
      <c r="AD407" s="44"/>
      <c r="AE407" s="44"/>
      <c r="AF407" s="44"/>
      <c r="AG407" s="44"/>
      <c r="AH407" s="44"/>
      <c r="AI407" s="44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44"/>
      <c r="AC408" s="44"/>
      <c r="AD408" s="44"/>
      <c r="AE408" s="44"/>
      <c r="AF408" s="44"/>
      <c r="AG408" s="44"/>
      <c r="AH408" s="44"/>
      <c r="AI408" s="44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44"/>
      <c r="AC409" s="44"/>
      <c r="AD409" s="44"/>
      <c r="AE409" s="44"/>
      <c r="AF409" s="44"/>
      <c r="AG409" s="44"/>
      <c r="AH409" s="44"/>
      <c r="AI409" s="44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44"/>
      <c r="AC410" s="44"/>
      <c r="AD410" s="44"/>
      <c r="AE410" s="44"/>
      <c r="AF410" s="44"/>
      <c r="AG410" s="44"/>
      <c r="AH410" s="44"/>
      <c r="AI410" s="44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44"/>
      <c r="AC411" s="44"/>
      <c r="AD411" s="44"/>
      <c r="AE411" s="44"/>
      <c r="AF411" s="44"/>
      <c r="AG411" s="44"/>
      <c r="AH411" s="44"/>
      <c r="AI411" s="44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44"/>
      <c r="AC412" s="44"/>
      <c r="AD412" s="44"/>
      <c r="AE412" s="44"/>
      <c r="AF412" s="44"/>
      <c r="AG412" s="44"/>
      <c r="AH412" s="44"/>
      <c r="AI412" s="44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44"/>
      <c r="AC413" s="44"/>
      <c r="AD413" s="44"/>
      <c r="AE413" s="44"/>
      <c r="AF413" s="44"/>
      <c r="AG413" s="44"/>
      <c r="AH413" s="44"/>
      <c r="AI413" s="44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44"/>
      <c r="AC414" s="44"/>
      <c r="AD414" s="44"/>
      <c r="AE414" s="44"/>
      <c r="AF414" s="44"/>
      <c r="AG414" s="44"/>
      <c r="AH414" s="44"/>
      <c r="AI414" s="44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44"/>
      <c r="AC415" s="44"/>
      <c r="AD415" s="44"/>
      <c r="AE415" s="44"/>
      <c r="AF415" s="44"/>
      <c r="AG415" s="44"/>
      <c r="AH415" s="44"/>
      <c r="AI415" s="44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44"/>
      <c r="AC416" s="44"/>
      <c r="AD416" s="44"/>
      <c r="AE416" s="44"/>
      <c r="AF416" s="44"/>
      <c r="AG416" s="44"/>
      <c r="AH416" s="44"/>
      <c r="AI416" s="44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44"/>
      <c r="AC417" s="44"/>
      <c r="AD417" s="44"/>
      <c r="AE417" s="44"/>
      <c r="AF417" s="44"/>
      <c r="AG417" s="44"/>
      <c r="AH417" s="44"/>
      <c r="AI417" s="44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44"/>
      <c r="AC418" s="44"/>
      <c r="AD418" s="44"/>
      <c r="AE418" s="44"/>
      <c r="AF418" s="44"/>
      <c r="AG418" s="44"/>
      <c r="AH418" s="44"/>
      <c r="AI418" s="44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44"/>
      <c r="AC419" s="44"/>
      <c r="AD419" s="44"/>
      <c r="AE419" s="44"/>
      <c r="AF419" s="44"/>
      <c r="AG419" s="44"/>
      <c r="AH419" s="44"/>
      <c r="AI419" s="44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44"/>
      <c r="AC420" s="44"/>
      <c r="AD420" s="44"/>
      <c r="AE420" s="44"/>
      <c r="AF420" s="44"/>
      <c r="AG420" s="44"/>
      <c r="AH420" s="44"/>
      <c r="AI420" s="44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44"/>
      <c r="AC421" s="44"/>
      <c r="AD421" s="44"/>
      <c r="AE421" s="44"/>
      <c r="AF421" s="44"/>
      <c r="AG421" s="44"/>
      <c r="AH421" s="44"/>
      <c r="AI421" s="44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44"/>
      <c r="AC422" s="44"/>
      <c r="AD422" s="44"/>
      <c r="AE422" s="44"/>
      <c r="AF422" s="44"/>
      <c r="AG422" s="44"/>
      <c r="AH422" s="44"/>
      <c r="AI422" s="44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44"/>
      <c r="AC423" s="44"/>
      <c r="AD423" s="44"/>
      <c r="AE423" s="44"/>
      <c r="AF423" s="44"/>
      <c r="AG423" s="44"/>
      <c r="AH423" s="44"/>
      <c r="AI423" s="44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44"/>
      <c r="AC424" s="44"/>
      <c r="AD424" s="44"/>
      <c r="AE424" s="44"/>
      <c r="AF424" s="44"/>
      <c r="AG424" s="44"/>
      <c r="AH424" s="44"/>
      <c r="AI424" s="44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44"/>
      <c r="AC425" s="44"/>
      <c r="AD425" s="44"/>
      <c r="AE425" s="44"/>
      <c r="AF425" s="44"/>
      <c r="AG425" s="44"/>
      <c r="AH425" s="44"/>
      <c r="AI425" s="44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44"/>
      <c r="AC426" s="44"/>
      <c r="AD426" s="44"/>
      <c r="AE426" s="44"/>
      <c r="AF426" s="44"/>
      <c r="AG426" s="44"/>
      <c r="AH426" s="44"/>
      <c r="AI426" s="44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44"/>
      <c r="AC427" s="44"/>
      <c r="AD427" s="44"/>
      <c r="AE427" s="44"/>
      <c r="AF427" s="44"/>
      <c r="AG427" s="44"/>
      <c r="AH427" s="44"/>
      <c r="AI427" s="44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44"/>
      <c r="AC428" s="44"/>
      <c r="AD428" s="44"/>
      <c r="AE428" s="44"/>
      <c r="AF428" s="44"/>
      <c r="AG428" s="44"/>
      <c r="AH428" s="44"/>
      <c r="AI428" s="44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44"/>
      <c r="AC429" s="44"/>
      <c r="AD429" s="44"/>
      <c r="AE429" s="44"/>
      <c r="AF429" s="44"/>
      <c r="AG429" s="44"/>
      <c r="AH429" s="44"/>
      <c r="AI429" s="44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44"/>
      <c r="AC430" s="44"/>
      <c r="AD430" s="44"/>
      <c r="AE430" s="44"/>
      <c r="AF430" s="44"/>
      <c r="AG430" s="44"/>
      <c r="AH430" s="44"/>
      <c r="AI430" s="44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44"/>
      <c r="AC431" s="44"/>
      <c r="AD431" s="44"/>
      <c r="AE431" s="44"/>
      <c r="AF431" s="44"/>
      <c r="AG431" s="44"/>
      <c r="AH431" s="44"/>
      <c r="AI431" s="44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44"/>
      <c r="AC432" s="44"/>
      <c r="AD432" s="44"/>
      <c r="AE432" s="44"/>
      <c r="AF432" s="44"/>
      <c r="AG432" s="44"/>
      <c r="AH432" s="44"/>
      <c r="AI432" s="44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44"/>
      <c r="AC433" s="44"/>
      <c r="AD433" s="44"/>
      <c r="AE433" s="44"/>
      <c r="AF433" s="44"/>
      <c r="AG433" s="44"/>
      <c r="AH433" s="44"/>
      <c r="AI433" s="44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44"/>
      <c r="AC434" s="44"/>
      <c r="AD434" s="44"/>
      <c r="AE434" s="44"/>
      <c r="AF434" s="44"/>
      <c r="AG434" s="44"/>
      <c r="AH434" s="44"/>
      <c r="AI434" s="44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44"/>
      <c r="AC435" s="44"/>
      <c r="AD435" s="44"/>
      <c r="AE435" s="44"/>
      <c r="AF435" s="44"/>
      <c r="AG435" s="44"/>
      <c r="AH435" s="44"/>
      <c r="AI435" s="44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44"/>
      <c r="AC436" s="44"/>
      <c r="AD436" s="44"/>
      <c r="AE436" s="44"/>
      <c r="AF436" s="44"/>
      <c r="AG436" s="44"/>
      <c r="AH436" s="44"/>
      <c r="AI436" s="44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44"/>
      <c r="AC437" s="44"/>
      <c r="AD437" s="44"/>
      <c r="AE437" s="44"/>
      <c r="AF437" s="44"/>
      <c r="AG437" s="44"/>
      <c r="AH437" s="44"/>
      <c r="AI437" s="44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44"/>
      <c r="AC438" s="44"/>
      <c r="AD438" s="44"/>
      <c r="AE438" s="44"/>
      <c r="AF438" s="44"/>
      <c r="AG438" s="44"/>
      <c r="AH438" s="44"/>
      <c r="AI438" s="44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44"/>
      <c r="AC439" s="44"/>
      <c r="AD439" s="44"/>
      <c r="AE439" s="44"/>
      <c r="AF439" s="44"/>
      <c r="AG439" s="44"/>
      <c r="AH439" s="44"/>
      <c r="AI439" s="44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44"/>
      <c r="AC440" s="44"/>
      <c r="AD440" s="44"/>
      <c r="AE440" s="44"/>
      <c r="AF440" s="44"/>
      <c r="AG440" s="44"/>
      <c r="AH440" s="44"/>
      <c r="AI440" s="44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44"/>
      <c r="AC441" s="44"/>
      <c r="AD441" s="44"/>
      <c r="AE441" s="44"/>
      <c r="AF441" s="44"/>
      <c r="AG441" s="44"/>
      <c r="AH441" s="44"/>
      <c r="AI441" s="44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44"/>
      <c r="AC442" s="44"/>
      <c r="AD442" s="44"/>
      <c r="AE442" s="44"/>
      <c r="AF442" s="44"/>
      <c r="AG442" s="44"/>
      <c r="AH442" s="44"/>
      <c r="AI442" s="44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44"/>
      <c r="AC443" s="44"/>
      <c r="AD443" s="44"/>
      <c r="AE443" s="44"/>
      <c r="AF443" s="44"/>
      <c r="AG443" s="44"/>
      <c r="AH443" s="44"/>
      <c r="AI443" s="44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44"/>
      <c r="AC444" s="44"/>
      <c r="AD444" s="44"/>
      <c r="AE444" s="44"/>
      <c r="AF444" s="44"/>
      <c r="AG444" s="44"/>
      <c r="AH444" s="44"/>
      <c r="AI444" s="44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44"/>
      <c r="AC445" s="44"/>
      <c r="AD445" s="44"/>
      <c r="AE445" s="44"/>
      <c r="AF445" s="44"/>
      <c r="AG445" s="44"/>
      <c r="AH445" s="44"/>
      <c r="AI445" s="44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44"/>
      <c r="AC446" s="44"/>
      <c r="AD446" s="44"/>
      <c r="AE446" s="44"/>
      <c r="AF446" s="44"/>
      <c r="AG446" s="44"/>
      <c r="AH446" s="44"/>
      <c r="AI446" s="44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44"/>
      <c r="AC447" s="44"/>
      <c r="AD447" s="44"/>
      <c r="AE447" s="44"/>
      <c r="AF447" s="44"/>
      <c r="AG447" s="44"/>
      <c r="AH447" s="44"/>
      <c r="AI447" s="44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44"/>
      <c r="AC448" s="44"/>
      <c r="AD448" s="44"/>
      <c r="AE448" s="44"/>
      <c r="AF448" s="44"/>
      <c r="AG448" s="44"/>
      <c r="AH448" s="44"/>
      <c r="AI448" s="44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44"/>
      <c r="AC449" s="44"/>
      <c r="AD449" s="44"/>
      <c r="AE449" s="44"/>
      <c r="AF449" s="44"/>
      <c r="AG449" s="44"/>
      <c r="AH449" s="44"/>
      <c r="AI449" s="44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44"/>
      <c r="AC450" s="44"/>
      <c r="AD450" s="44"/>
      <c r="AE450" s="44"/>
      <c r="AF450" s="44"/>
      <c r="AG450" s="44"/>
      <c r="AH450" s="44"/>
      <c r="AI450" s="44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44"/>
      <c r="AC451" s="44"/>
      <c r="AD451" s="44"/>
      <c r="AE451" s="44"/>
      <c r="AF451" s="44"/>
      <c r="AG451" s="44"/>
      <c r="AH451" s="44"/>
      <c r="AI451" s="44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44"/>
      <c r="AC452" s="44"/>
      <c r="AD452" s="44"/>
      <c r="AE452" s="44"/>
      <c r="AF452" s="44"/>
      <c r="AG452" s="44"/>
      <c r="AH452" s="44"/>
      <c r="AI452" s="44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44"/>
      <c r="AC453" s="44"/>
      <c r="AD453" s="44"/>
      <c r="AE453" s="44"/>
      <c r="AF453" s="44"/>
      <c r="AG453" s="44"/>
      <c r="AH453" s="44"/>
      <c r="AI453" s="44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44"/>
      <c r="AC454" s="44"/>
      <c r="AD454" s="44"/>
      <c r="AE454" s="44"/>
      <c r="AF454" s="44"/>
      <c r="AG454" s="44"/>
      <c r="AH454" s="44"/>
      <c r="AI454" s="44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44"/>
      <c r="AC455" s="44"/>
      <c r="AD455" s="44"/>
      <c r="AE455" s="44"/>
      <c r="AF455" s="44"/>
      <c r="AG455" s="44"/>
      <c r="AH455" s="44"/>
      <c r="AI455" s="44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44"/>
      <c r="AC456" s="44"/>
      <c r="AD456" s="44"/>
      <c r="AE456" s="44"/>
      <c r="AF456" s="44"/>
      <c r="AG456" s="44"/>
      <c r="AH456" s="44"/>
      <c r="AI456" s="44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44"/>
      <c r="AC457" s="44"/>
      <c r="AD457" s="44"/>
      <c r="AE457" s="44"/>
      <c r="AF457" s="44"/>
      <c r="AG457" s="44"/>
      <c r="AH457" s="44"/>
      <c r="AI457" s="44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44"/>
      <c r="AC458" s="44"/>
      <c r="AD458" s="44"/>
      <c r="AE458" s="44"/>
      <c r="AF458" s="44"/>
      <c r="AG458" s="44"/>
      <c r="AH458" s="44"/>
      <c r="AI458" s="44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44"/>
      <c r="AC459" s="44"/>
      <c r="AD459" s="44"/>
      <c r="AE459" s="44"/>
      <c r="AF459" s="44"/>
      <c r="AG459" s="44"/>
      <c r="AH459" s="44"/>
      <c r="AI459" s="44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44"/>
      <c r="AC460" s="44"/>
      <c r="AD460" s="44"/>
      <c r="AE460" s="44"/>
      <c r="AF460" s="44"/>
      <c r="AG460" s="44"/>
      <c r="AH460" s="44"/>
      <c r="AI460" s="44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44"/>
      <c r="AC461" s="44"/>
      <c r="AD461" s="44"/>
      <c r="AE461" s="44"/>
      <c r="AF461" s="44"/>
      <c r="AG461" s="44"/>
      <c r="AH461" s="44"/>
      <c r="AI461" s="44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44"/>
      <c r="AC462" s="44"/>
      <c r="AD462" s="44"/>
      <c r="AE462" s="44"/>
      <c r="AF462" s="44"/>
      <c r="AG462" s="44"/>
      <c r="AH462" s="44"/>
      <c r="AI462" s="44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44"/>
      <c r="AC463" s="44"/>
      <c r="AD463" s="44"/>
      <c r="AE463" s="44"/>
      <c r="AF463" s="44"/>
      <c r="AG463" s="44"/>
      <c r="AH463" s="44"/>
      <c r="AI463" s="44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44"/>
      <c r="AC464" s="44"/>
      <c r="AD464" s="44"/>
      <c r="AE464" s="44"/>
      <c r="AF464" s="44"/>
      <c r="AG464" s="44"/>
      <c r="AH464" s="44"/>
      <c r="AI464" s="44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44"/>
      <c r="AC465" s="44"/>
      <c r="AD465" s="44"/>
      <c r="AE465" s="44"/>
      <c r="AF465" s="44"/>
      <c r="AG465" s="44"/>
      <c r="AH465" s="44"/>
      <c r="AI465" s="44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44"/>
      <c r="AC466" s="44"/>
      <c r="AD466" s="44"/>
      <c r="AE466" s="44"/>
      <c r="AF466" s="44"/>
      <c r="AG466" s="44"/>
      <c r="AH466" s="44"/>
      <c r="AI466" s="44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44"/>
      <c r="AC467" s="44"/>
      <c r="AD467" s="44"/>
      <c r="AE467" s="44"/>
      <c r="AF467" s="44"/>
      <c r="AG467" s="44"/>
      <c r="AH467" s="44"/>
      <c r="AI467" s="44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44"/>
      <c r="AC468" s="44"/>
      <c r="AD468" s="44"/>
      <c r="AE468" s="44"/>
      <c r="AF468" s="44"/>
      <c r="AG468" s="44"/>
      <c r="AH468" s="44"/>
      <c r="AI468" s="44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44"/>
      <c r="AC469" s="44"/>
      <c r="AD469" s="44"/>
      <c r="AE469" s="44"/>
      <c r="AF469" s="44"/>
      <c r="AG469" s="44"/>
      <c r="AH469" s="44"/>
      <c r="AI469" s="44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44"/>
      <c r="AC470" s="44"/>
      <c r="AD470" s="44"/>
      <c r="AE470" s="44"/>
      <c r="AF470" s="44"/>
      <c r="AG470" s="44"/>
      <c r="AH470" s="44"/>
      <c r="AI470" s="44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44"/>
      <c r="AC471" s="44"/>
      <c r="AD471" s="44"/>
      <c r="AE471" s="44"/>
      <c r="AF471" s="44"/>
      <c r="AG471" s="44"/>
      <c r="AH471" s="44"/>
      <c r="AI471" s="44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44"/>
      <c r="AC472" s="44"/>
      <c r="AD472" s="44"/>
      <c r="AE472" s="44"/>
      <c r="AF472" s="44"/>
      <c r="AG472" s="44"/>
      <c r="AH472" s="44"/>
      <c r="AI472" s="44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44"/>
      <c r="AC473" s="44"/>
      <c r="AD473" s="44"/>
      <c r="AE473" s="44"/>
      <c r="AF473" s="44"/>
      <c r="AG473" s="44"/>
      <c r="AH473" s="44"/>
      <c r="AI473" s="44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44"/>
      <c r="AC474" s="44"/>
      <c r="AD474" s="44"/>
      <c r="AE474" s="44"/>
      <c r="AF474" s="44"/>
      <c r="AG474" s="44"/>
      <c r="AH474" s="44"/>
      <c r="AI474" s="44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44"/>
      <c r="AC475" s="44"/>
      <c r="AD475" s="44"/>
      <c r="AE475" s="44"/>
      <c r="AF475" s="44"/>
      <c r="AG475" s="44"/>
      <c r="AH475" s="44"/>
      <c r="AI475" s="44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44"/>
      <c r="AC476" s="44"/>
      <c r="AD476" s="44"/>
      <c r="AE476" s="44"/>
      <c r="AF476" s="44"/>
      <c r="AG476" s="44"/>
      <c r="AH476" s="44"/>
      <c r="AI476" s="44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44"/>
      <c r="AC477" s="44"/>
      <c r="AD477" s="44"/>
      <c r="AE477" s="44"/>
      <c r="AF477" s="44"/>
      <c r="AG477" s="44"/>
      <c r="AH477" s="44"/>
      <c r="AI477" s="44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44"/>
      <c r="AC478" s="44"/>
      <c r="AD478" s="44"/>
      <c r="AE478" s="44"/>
      <c r="AF478" s="44"/>
      <c r="AG478" s="44"/>
      <c r="AH478" s="44"/>
      <c r="AI478" s="44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44"/>
      <c r="AC479" s="44"/>
      <c r="AD479" s="44"/>
      <c r="AE479" s="44"/>
      <c r="AF479" s="44"/>
      <c r="AG479" s="44"/>
      <c r="AH479" s="44"/>
      <c r="AI479" s="44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44"/>
      <c r="AC480" s="44"/>
      <c r="AD480" s="44"/>
      <c r="AE480" s="44"/>
      <c r="AF480" s="44"/>
      <c r="AG480" s="44"/>
      <c r="AH480" s="44"/>
      <c r="AI480" s="44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44"/>
      <c r="AC481" s="44"/>
      <c r="AD481" s="44"/>
      <c r="AE481" s="44"/>
      <c r="AF481" s="44"/>
      <c r="AG481" s="44"/>
      <c r="AH481" s="44"/>
      <c r="AI481" s="44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44"/>
      <c r="AC482" s="44"/>
      <c r="AD482" s="44"/>
      <c r="AE482" s="44"/>
      <c r="AF482" s="44"/>
      <c r="AG482" s="44"/>
      <c r="AH482" s="44"/>
      <c r="AI482" s="44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44"/>
      <c r="AC483" s="44"/>
      <c r="AD483" s="44"/>
      <c r="AE483" s="44"/>
      <c r="AF483" s="44"/>
      <c r="AG483" s="44"/>
      <c r="AH483" s="44"/>
      <c r="AI483" s="44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44"/>
      <c r="AC484" s="44"/>
      <c r="AD484" s="44"/>
      <c r="AE484" s="44"/>
      <c r="AF484" s="44"/>
      <c r="AG484" s="44"/>
      <c r="AH484" s="44"/>
      <c r="AI484" s="44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44"/>
      <c r="AC485" s="44"/>
      <c r="AD485" s="44"/>
      <c r="AE485" s="44"/>
      <c r="AF485" s="44"/>
      <c r="AG485" s="44"/>
      <c r="AH485" s="44"/>
      <c r="AI485" s="44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44"/>
      <c r="AC486" s="44"/>
      <c r="AD486" s="44"/>
      <c r="AE486" s="44"/>
      <c r="AF486" s="44"/>
      <c r="AG486" s="44"/>
      <c r="AH486" s="44"/>
      <c r="AI486" s="44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44"/>
      <c r="AC487" s="44"/>
      <c r="AD487" s="44"/>
      <c r="AE487" s="44"/>
      <c r="AF487" s="44"/>
      <c r="AG487" s="44"/>
      <c r="AH487" s="44"/>
      <c r="AI487" s="44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44"/>
      <c r="AC488" s="44"/>
      <c r="AD488" s="44"/>
      <c r="AE488" s="44"/>
      <c r="AF488" s="44"/>
      <c r="AG488" s="44"/>
      <c r="AH488" s="44"/>
      <c r="AI488" s="44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44"/>
      <c r="AC489" s="44"/>
      <c r="AD489" s="44"/>
      <c r="AE489" s="44"/>
      <c r="AF489" s="44"/>
      <c r="AG489" s="44"/>
      <c r="AH489" s="44"/>
      <c r="AI489" s="44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44"/>
      <c r="AC490" s="44"/>
      <c r="AD490" s="44"/>
      <c r="AE490" s="44"/>
      <c r="AF490" s="44"/>
      <c r="AG490" s="44"/>
      <c r="AH490" s="44"/>
      <c r="AI490" s="44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44"/>
      <c r="AC491" s="44"/>
      <c r="AD491" s="44"/>
      <c r="AE491" s="44"/>
      <c r="AF491" s="44"/>
      <c r="AG491" s="44"/>
      <c r="AH491" s="44"/>
      <c r="AI491" s="44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44"/>
      <c r="AC492" s="44"/>
      <c r="AD492" s="44"/>
      <c r="AE492" s="44"/>
      <c r="AF492" s="44"/>
      <c r="AG492" s="44"/>
      <c r="AH492" s="44"/>
      <c r="AI492" s="44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44"/>
      <c r="AC493" s="44"/>
      <c r="AD493" s="44"/>
      <c r="AE493" s="44"/>
      <c r="AF493" s="44"/>
      <c r="AG493" s="44"/>
      <c r="AH493" s="44"/>
      <c r="AI493" s="44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44"/>
      <c r="AC494" s="44"/>
      <c r="AD494" s="44"/>
      <c r="AE494" s="44"/>
      <c r="AF494" s="44"/>
      <c r="AG494" s="44"/>
      <c r="AH494" s="44"/>
      <c r="AI494" s="44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44"/>
      <c r="AC495" s="44"/>
      <c r="AD495" s="44"/>
      <c r="AE495" s="44"/>
      <c r="AF495" s="44"/>
      <c r="AG495" s="44"/>
      <c r="AH495" s="44"/>
      <c r="AI495" s="44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44"/>
      <c r="AC496" s="44"/>
      <c r="AD496" s="44"/>
      <c r="AE496" s="44"/>
      <c r="AF496" s="44"/>
      <c r="AG496" s="44"/>
      <c r="AH496" s="44"/>
      <c r="AI496" s="44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44"/>
      <c r="AC497" s="44"/>
      <c r="AD497" s="44"/>
      <c r="AE497" s="44"/>
      <c r="AF497" s="44"/>
      <c r="AG497" s="44"/>
      <c r="AH497" s="44"/>
      <c r="AI497" s="44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44"/>
      <c r="AC498" s="44"/>
      <c r="AD498" s="44"/>
      <c r="AE498" s="44"/>
      <c r="AF498" s="44"/>
      <c r="AG498" s="44"/>
      <c r="AH498" s="44"/>
      <c r="AI498" s="44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44"/>
      <c r="AC499" s="44"/>
      <c r="AD499" s="44"/>
      <c r="AE499" s="44"/>
      <c r="AF499" s="44"/>
      <c r="AG499" s="44"/>
      <c r="AH499" s="44"/>
      <c r="AI499" s="44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44"/>
      <c r="AC500" s="44"/>
      <c r="AD500" s="44"/>
      <c r="AE500" s="44"/>
      <c r="AF500" s="44"/>
      <c r="AG500" s="44"/>
      <c r="AH500" s="44"/>
      <c r="AI500" s="44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44"/>
      <c r="AC501" s="44"/>
      <c r="AD501" s="44"/>
      <c r="AE501" s="44"/>
      <c r="AF501" s="44"/>
      <c r="AG501" s="44"/>
      <c r="AH501" s="44"/>
      <c r="AI501" s="44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44"/>
      <c r="AC502" s="44"/>
      <c r="AD502" s="44"/>
      <c r="AE502" s="44"/>
      <c r="AF502" s="44"/>
      <c r="AG502" s="44"/>
      <c r="AH502" s="44"/>
      <c r="AI502" s="44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44"/>
      <c r="AC503" s="44"/>
      <c r="AD503" s="44"/>
      <c r="AE503" s="44"/>
      <c r="AF503" s="44"/>
      <c r="AG503" s="44"/>
      <c r="AH503" s="44"/>
      <c r="AI503" s="44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44"/>
      <c r="AC504" s="44"/>
      <c r="AD504" s="44"/>
      <c r="AE504" s="44"/>
      <c r="AF504" s="44"/>
      <c r="AG504" s="44"/>
      <c r="AH504" s="44"/>
      <c r="AI504" s="44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44"/>
      <c r="AC505" s="44"/>
      <c r="AD505" s="44"/>
      <c r="AE505" s="44"/>
      <c r="AF505" s="44"/>
      <c r="AG505" s="44"/>
      <c r="AH505" s="44"/>
      <c r="AI505" s="44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44"/>
      <c r="AC506" s="44"/>
      <c r="AD506" s="44"/>
      <c r="AE506" s="44"/>
      <c r="AF506" s="44"/>
      <c r="AG506" s="44"/>
      <c r="AH506" s="44"/>
      <c r="AI506" s="44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44"/>
      <c r="AC507" s="44"/>
      <c r="AD507" s="44"/>
      <c r="AE507" s="44"/>
      <c r="AF507" s="44"/>
      <c r="AG507" s="44"/>
      <c r="AH507" s="44"/>
      <c r="AI507" s="44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44"/>
      <c r="AC508" s="44"/>
      <c r="AD508" s="44"/>
      <c r="AE508" s="44"/>
      <c r="AF508" s="44"/>
      <c r="AG508" s="44"/>
      <c r="AH508" s="44"/>
      <c r="AI508" s="44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44"/>
      <c r="AC509" s="44"/>
      <c r="AD509" s="44"/>
      <c r="AE509" s="44"/>
      <c r="AF509" s="44"/>
      <c r="AG509" s="44"/>
      <c r="AH509" s="44"/>
      <c r="AI509" s="44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44"/>
      <c r="AC510" s="44"/>
      <c r="AD510" s="44"/>
      <c r="AE510" s="44"/>
      <c r="AF510" s="44"/>
      <c r="AG510" s="44"/>
      <c r="AH510" s="44"/>
      <c r="AI510" s="44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44"/>
      <c r="AC511" s="44"/>
      <c r="AD511" s="44"/>
      <c r="AE511" s="44"/>
      <c r="AF511" s="44"/>
      <c r="AG511" s="44"/>
      <c r="AH511" s="44"/>
      <c r="AI511" s="44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44"/>
      <c r="AC512" s="44"/>
      <c r="AD512" s="44"/>
      <c r="AE512" s="44"/>
      <c r="AF512" s="44"/>
      <c r="AG512" s="44"/>
      <c r="AH512" s="44"/>
      <c r="AI512" s="44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44"/>
      <c r="AC513" s="44"/>
      <c r="AD513" s="44"/>
      <c r="AE513" s="44"/>
      <c r="AF513" s="44"/>
      <c r="AG513" s="44"/>
      <c r="AH513" s="44"/>
      <c r="AI513" s="44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44"/>
      <c r="AC514" s="44"/>
      <c r="AD514" s="44"/>
      <c r="AE514" s="44"/>
      <c r="AF514" s="44"/>
      <c r="AG514" s="44"/>
      <c r="AH514" s="44"/>
      <c r="AI514" s="44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44"/>
      <c r="AC515" s="44"/>
      <c r="AD515" s="44"/>
      <c r="AE515" s="44"/>
      <c r="AF515" s="44"/>
      <c r="AG515" s="44"/>
      <c r="AH515" s="44"/>
      <c r="AI515" s="44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44"/>
      <c r="AC516" s="44"/>
      <c r="AD516" s="44"/>
      <c r="AE516" s="44"/>
      <c r="AF516" s="44"/>
      <c r="AG516" s="44"/>
      <c r="AH516" s="44"/>
      <c r="AI516" s="44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44"/>
      <c r="AC517" s="44"/>
      <c r="AD517" s="44"/>
      <c r="AE517" s="44"/>
      <c r="AF517" s="44"/>
      <c r="AG517" s="44"/>
      <c r="AH517" s="44"/>
      <c r="AI517" s="44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44"/>
      <c r="AC518" s="44"/>
      <c r="AD518" s="44"/>
      <c r="AE518" s="44"/>
      <c r="AF518" s="44"/>
      <c r="AG518" s="44"/>
      <c r="AH518" s="44"/>
      <c r="AI518" s="44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44"/>
      <c r="AC519" s="44"/>
      <c r="AD519" s="44"/>
      <c r="AE519" s="44"/>
      <c r="AF519" s="44"/>
      <c r="AG519" s="44"/>
      <c r="AH519" s="44"/>
      <c r="AI519" s="44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44"/>
      <c r="AC520" s="44"/>
      <c r="AD520" s="44"/>
      <c r="AE520" s="44"/>
      <c r="AF520" s="44"/>
      <c r="AG520" s="44"/>
      <c r="AH520" s="44"/>
      <c r="AI520" s="44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44"/>
      <c r="AC521" s="44"/>
      <c r="AD521" s="44"/>
      <c r="AE521" s="44"/>
      <c r="AF521" s="44"/>
      <c r="AG521" s="44"/>
      <c r="AH521" s="44"/>
      <c r="AI521" s="44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44"/>
      <c r="AC522" s="44"/>
      <c r="AD522" s="44"/>
      <c r="AE522" s="44"/>
      <c r="AF522" s="44"/>
      <c r="AG522" s="44"/>
      <c r="AH522" s="44"/>
      <c r="AI522" s="44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44"/>
      <c r="AC523" s="44"/>
      <c r="AD523" s="44"/>
      <c r="AE523" s="44"/>
      <c r="AF523" s="44"/>
      <c r="AG523" s="44"/>
      <c r="AH523" s="44"/>
      <c r="AI523" s="44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44"/>
      <c r="AC524" s="44"/>
      <c r="AD524" s="44"/>
      <c r="AE524" s="44"/>
      <c r="AF524" s="44"/>
      <c r="AG524" s="44"/>
      <c r="AH524" s="44"/>
      <c r="AI524" s="44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44"/>
      <c r="AC525" s="44"/>
      <c r="AD525" s="44"/>
      <c r="AE525" s="44"/>
      <c r="AF525" s="44"/>
      <c r="AG525" s="44"/>
      <c r="AH525" s="44"/>
      <c r="AI525" s="44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44"/>
      <c r="AC526" s="44"/>
      <c r="AD526" s="44"/>
      <c r="AE526" s="44"/>
      <c r="AF526" s="44"/>
      <c r="AG526" s="44"/>
      <c r="AH526" s="44"/>
      <c r="AI526" s="44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44"/>
      <c r="AC527" s="44"/>
      <c r="AD527" s="44"/>
      <c r="AE527" s="44"/>
      <c r="AF527" s="44"/>
      <c r="AG527" s="44"/>
      <c r="AH527" s="44"/>
      <c r="AI527" s="44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44"/>
      <c r="AC528" s="44"/>
      <c r="AD528" s="44"/>
      <c r="AE528" s="44"/>
      <c r="AF528" s="44"/>
      <c r="AG528" s="44"/>
      <c r="AH528" s="44"/>
      <c r="AI528" s="44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44"/>
      <c r="AC529" s="44"/>
      <c r="AD529" s="44"/>
      <c r="AE529" s="44"/>
      <c r="AF529" s="44"/>
      <c r="AG529" s="44"/>
      <c r="AH529" s="44"/>
      <c r="AI529" s="44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44"/>
      <c r="AC530" s="44"/>
      <c r="AD530" s="44"/>
      <c r="AE530" s="44"/>
      <c r="AF530" s="44"/>
      <c r="AG530" s="44"/>
      <c r="AH530" s="44"/>
      <c r="AI530" s="44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44"/>
      <c r="AC531" s="44"/>
      <c r="AD531" s="44"/>
      <c r="AE531" s="44"/>
      <c r="AF531" s="44"/>
      <c r="AG531" s="44"/>
      <c r="AH531" s="44"/>
      <c r="AI531" s="44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44"/>
      <c r="AC532" s="44"/>
      <c r="AD532" s="44"/>
      <c r="AE532" s="44"/>
      <c r="AF532" s="44"/>
      <c r="AG532" s="44"/>
      <c r="AH532" s="44"/>
      <c r="AI532" s="44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44"/>
      <c r="AC533" s="44"/>
      <c r="AD533" s="44"/>
      <c r="AE533" s="44"/>
      <c r="AF533" s="44"/>
      <c r="AG533" s="44"/>
      <c r="AH533" s="44"/>
      <c r="AI533" s="44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44"/>
      <c r="AC534" s="44"/>
      <c r="AD534" s="44"/>
      <c r="AE534" s="44"/>
      <c r="AF534" s="44"/>
      <c r="AG534" s="44"/>
      <c r="AH534" s="44"/>
      <c r="AI534" s="44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44"/>
      <c r="AC535" s="44"/>
      <c r="AD535" s="44"/>
      <c r="AE535" s="44"/>
      <c r="AF535" s="44"/>
      <c r="AG535" s="44"/>
      <c r="AH535" s="44"/>
      <c r="AI535" s="44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44"/>
      <c r="AC536" s="44"/>
      <c r="AD536" s="44"/>
      <c r="AE536" s="44"/>
      <c r="AF536" s="44"/>
      <c r="AG536" s="44"/>
      <c r="AH536" s="44"/>
      <c r="AI536" s="44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44"/>
      <c r="AC537" s="44"/>
      <c r="AD537" s="44"/>
      <c r="AE537" s="44"/>
      <c r="AF537" s="44"/>
      <c r="AG537" s="44"/>
      <c r="AH537" s="44"/>
      <c r="AI537" s="44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44"/>
      <c r="AC538" s="44"/>
      <c r="AD538" s="44"/>
      <c r="AE538" s="44"/>
      <c r="AF538" s="44"/>
      <c r="AG538" s="44"/>
      <c r="AH538" s="44"/>
      <c r="AI538" s="44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44"/>
      <c r="AC539" s="44"/>
      <c r="AD539" s="44"/>
      <c r="AE539" s="44"/>
      <c r="AF539" s="44"/>
      <c r="AG539" s="44"/>
      <c r="AH539" s="44"/>
      <c r="AI539" s="44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44"/>
      <c r="AC540" s="44"/>
      <c r="AD540" s="44"/>
      <c r="AE540" s="44"/>
      <c r="AF540" s="44"/>
      <c r="AG540" s="44"/>
      <c r="AH540" s="44"/>
      <c r="AI540" s="44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44"/>
      <c r="AC541" s="44"/>
      <c r="AD541" s="44"/>
      <c r="AE541" s="44"/>
      <c r="AF541" s="44"/>
      <c r="AG541" s="44"/>
      <c r="AH541" s="44"/>
      <c r="AI541" s="44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44"/>
      <c r="AC542" s="44"/>
      <c r="AD542" s="44"/>
      <c r="AE542" s="44"/>
      <c r="AF542" s="44"/>
      <c r="AG542" s="44"/>
      <c r="AH542" s="44"/>
      <c r="AI542" s="44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44"/>
      <c r="AC543" s="44"/>
      <c r="AD543" s="44"/>
      <c r="AE543" s="44"/>
      <c r="AF543" s="44"/>
      <c r="AG543" s="44"/>
      <c r="AH543" s="44"/>
      <c r="AI543" s="44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44"/>
      <c r="AC544" s="44"/>
      <c r="AD544" s="44"/>
      <c r="AE544" s="44"/>
      <c r="AF544" s="44"/>
      <c r="AG544" s="44"/>
      <c r="AH544" s="44"/>
      <c r="AI544" s="44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44"/>
      <c r="AC545" s="44"/>
      <c r="AD545" s="44"/>
      <c r="AE545" s="44"/>
      <c r="AF545" s="44"/>
      <c r="AG545" s="44"/>
      <c r="AH545" s="44"/>
      <c r="AI545" s="44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44"/>
      <c r="AC546" s="44"/>
      <c r="AD546" s="44"/>
      <c r="AE546" s="44"/>
      <c r="AF546" s="44"/>
      <c r="AG546" s="44"/>
      <c r="AH546" s="44"/>
      <c r="AI546" s="44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44"/>
      <c r="AC547" s="44"/>
      <c r="AD547" s="44"/>
      <c r="AE547" s="44"/>
      <c r="AF547" s="44"/>
      <c r="AG547" s="44"/>
      <c r="AH547" s="44"/>
      <c r="AI547" s="44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44"/>
      <c r="AC548" s="44"/>
      <c r="AD548" s="44"/>
      <c r="AE548" s="44"/>
      <c r="AF548" s="44"/>
      <c r="AG548" s="44"/>
      <c r="AH548" s="44"/>
      <c r="AI548" s="44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44"/>
      <c r="AC549" s="44"/>
      <c r="AD549" s="44"/>
      <c r="AE549" s="44"/>
      <c r="AF549" s="44"/>
      <c r="AG549" s="44"/>
      <c r="AH549" s="44"/>
      <c r="AI549" s="44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44"/>
      <c r="AC550" s="44"/>
      <c r="AD550" s="44"/>
      <c r="AE550" s="44"/>
      <c r="AF550" s="44"/>
      <c r="AG550" s="44"/>
      <c r="AH550" s="44"/>
      <c r="AI550" s="44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44"/>
      <c r="AC551" s="44"/>
      <c r="AD551" s="44"/>
      <c r="AE551" s="44"/>
      <c r="AF551" s="44"/>
      <c r="AG551" s="44"/>
      <c r="AH551" s="44"/>
      <c r="AI551" s="44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44"/>
      <c r="AC552" s="44"/>
      <c r="AD552" s="44"/>
      <c r="AE552" s="44"/>
      <c r="AF552" s="44"/>
      <c r="AG552" s="44"/>
      <c r="AH552" s="44"/>
      <c r="AI552" s="44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44"/>
      <c r="AC553" s="44"/>
      <c r="AD553" s="44"/>
      <c r="AE553" s="44"/>
      <c r="AF553" s="44"/>
      <c r="AG553" s="44"/>
      <c r="AH553" s="44"/>
      <c r="AI553" s="44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44"/>
      <c r="AC554" s="44"/>
      <c r="AD554" s="44"/>
      <c r="AE554" s="44"/>
      <c r="AF554" s="44"/>
      <c r="AG554" s="44"/>
      <c r="AH554" s="44"/>
      <c r="AI554" s="44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44"/>
      <c r="AC555" s="44"/>
      <c r="AD555" s="44"/>
      <c r="AE555" s="44"/>
      <c r="AF555" s="44"/>
      <c r="AG555" s="44"/>
      <c r="AH555" s="44"/>
      <c r="AI555" s="44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44"/>
      <c r="AC556" s="44"/>
      <c r="AD556" s="44"/>
      <c r="AE556" s="44"/>
      <c r="AF556" s="44"/>
      <c r="AG556" s="44"/>
      <c r="AH556" s="44"/>
      <c r="AI556" s="44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44"/>
      <c r="AC557" s="44"/>
      <c r="AD557" s="44"/>
      <c r="AE557" s="44"/>
      <c r="AF557" s="44"/>
      <c r="AG557" s="44"/>
      <c r="AH557" s="44"/>
      <c r="AI557" s="44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44"/>
      <c r="AC558" s="44"/>
      <c r="AD558" s="44"/>
      <c r="AE558" s="44"/>
      <c r="AF558" s="44"/>
      <c r="AG558" s="44"/>
      <c r="AH558" s="44"/>
      <c r="AI558" s="44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44"/>
      <c r="AC559" s="44"/>
      <c r="AD559" s="44"/>
      <c r="AE559" s="44"/>
      <c r="AF559" s="44"/>
      <c r="AG559" s="44"/>
      <c r="AH559" s="44"/>
      <c r="AI559" s="44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44"/>
      <c r="AC560" s="44"/>
      <c r="AD560" s="44"/>
      <c r="AE560" s="44"/>
      <c r="AF560" s="44"/>
      <c r="AG560" s="44"/>
      <c r="AH560" s="44"/>
      <c r="AI560" s="44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44"/>
      <c r="AC561" s="44"/>
      <c r="AD561" s="44"/>
      <c r="AE561" s="44"/>
      <c r="AF561" s="44"/>
      <c r="AG561" s="44"/>
      <c r="AH561" s="44"/>
      <c r="AI561" s="44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44"/>
      <c r="AC562" s="44"/>
      <c r="AD562" s="44"/>
      <c r="AE562" s="44"/>
      <c r="AF562" s="44"/>
      <c r="AG562" s="44"/>
      <c r="AH562" s="44"/>
      <c r="AI562" s="44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44"/>
      <c r="AC563" s="44"/>
      <c r="AD563" s="44"/>
      <c r="AE563" s="44"/>
      <c r="AF563" s="44"/>
      <c r="AG563" s="44"/>
      <c r="AH563" s="44"/>
      <c r="AI563" s="44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44"/>
      <c r="AC564" s="44"/>
      <c r="AD564" s="44"/>
      <c r="AE564" s="44"/>
      <c r="AF564" s="44"/>
      <c r="AG564" s="44"/>
      <c r="AH564" s="44"/>
      <c r="AI564" s="44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44"/>
      <c r="AC565" s="44"/>
      <c r="AD565" s="44"/>
      <c r="AE565" s="44"/>
      <c r="AF565" s="44"/>
      <c r="AG565" s="44"/>
      <c r="AH565" s="44"/>
      <c r="AI565" s="44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44"/>
      <c r="AC566" s="44"/>
      <c r="AD566" s="44"/>
      <c r="AE566" s="44"/>
      <c r="AF566" s="44"/>
      <c r="AG566" s="44"/>
      <c r="AH566" s="44"/>
      <c r="AI566" s="44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44"/>
      <c r="AC567" s="44"/>
      <c r="AD567" s="44"/>
      <c r="AE567" s="44"/>
      <c r="AF567" s="44"/>
      <c r="AG567" s="44"/>
      <c r="AH567" s="44"/>
      <c r="AI567" s="44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44"/>
      <c r="AC568" s="44"/>
      <c r="AD568" s="44"/>
      <c r="AE568" s="44"/>
      <c r="AF568" s="44"/>
      <c r="AG568" s="44"/>
      <c r="AH568" s="44"/>
      <c r="AI568" s="44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44"/>
      <c r="AC569" s="44"/>
      <c r="AD569" s="44"/>
      <c r="AE569" s="44"/>
      <c r="AF569" s="44"/>
      <c r="AG569" s="44"/>
      <c r="AH569" s="44"/>
      <c r="AI569" s="44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44"/>
      <c r="AC570" s="44"/>
      <c r="AD570" s="44"/>
      <c r="AE570" s="44"/>
      <c r="AF570" s="44"/>
      <c r="AG570" s="44"/>
      <c r="AH570" s="44"/>
      <c r="AI570" s="44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44"/>
      <c r="AC571" s="44"/>
      <c r="AD571" s="44"/>
      <c r="AE571" s="44"/>
      <c r="AF571" s="44"/>
      <c r="AG571" s="44"/>
      <c r="AH571" s="44"/>
      <c r="AI571" s="44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44"/>
      <c r="AC572" s="44"/>
      <c r="AD572" s="44"/>
      <c r="AE572" s="44"/>
      <c r="AF572" s="44"/>
      <c r="AG572" s="44"/>
      <c r="AH572" s="44"/>
      <c r="AI572" s="44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44"/>
      <c r="AC573" s="44"/>
      <c r="AD573" s="44"/>
      <c r="AE573" s="44"/>
      <c r="AF573" s="44"/>
      <c r="AG573" s="44"/>
      <c r="AH573" s="44"/>
      <c r="AI573" s="44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44"/>
      <c r="AC574" s="44"/>
      <c r="AD574" s="44"/>
      <c r="AE574" s="44"/>
      <c r="AF574" s="44"/>
      <c r="AG574" s="44"/>
      <c r="AH574" s="44"/>
      <c r="AI574" s="44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44"/>
      <c r="AC575" s="44"/>
      <c r="AD575" s="44"/>
      <c r="AE575" s="44"/>
      <c r="AF575" s="44"/>
      <c r="AG575" s="44"/>
      <c r="AH575" s="44"/>
      <c r="AI575" s="44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44"/>
      <c r="AC576" s="44"/>
      <c r="AD576" s="44"/>
      <c r="AE576" s="44"/>
      <c r="AF576" s="44"/>
      <c r="AG576" s="44"/>
      <c r="AH576" s="44"/>
      <c r="AI576" s="44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44"/>
      <c r="AC577" s="44"/>
      <c r="AD577" s="44"/>
      <c r="AE577" s="44"/>
      <c r="AF577" s="44"/>
      <c r="AG577" s="44"/>
      <c r="AH577" s="44"/>
      <c r="AI577" s="44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44"/>
      <c r="AC578" s="44"/>
      <c r="AD578" s="44"/>
      <c r="AE578" s="44"/>
      <c r="AF578" s="44"/>
      <c r="AG578" s="44"/>
      <c r="AH578" s="44"/>
      <c r="AI578" s="44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44"/>
      <c r="AC579" s="44"/>
      <c r="AD579" s="44"/>
      <c r="AE579" s="44"/>
      <c r="AF579" s="44"/>
      <c r="AG579" s="44"/>
      <c r="AH579" s="44"/>
      <c r="AI579" s="44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44"/>
      <c r="AC580" s="44"/>
      <c r="AD580" s="44"/>
      <c r="AE580" s="44"/>
      <c r="AF580" s="44"/>
      <c r="AG580" s="44"/>
      <c r="AH580" s="44"/>
      <c r="AI580" s="44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44"/>
      <c r="AC581" s="44"/>
      <c r="AD581" s="44"/>
      <c r="AE581" s="44"/>
      <c r="AF581" s="44"/>
      <c r="AG581" s="44"/>
      <c r="AH581" s="44"/>
      <c r="AI581" s="44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44"/>
      <c r="AC582" s="44"/>
      <c r="AD582" s="44"/>
      <c r="AE582" s="44"/>
      <c r="AF582" s="44"/>
      <c r="AG582" s="44"/>
      <c r="AH582" s="44"/>
      <c r="AI582" s="44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44"/>
      <c r="AC583" s="44"/>
      <c r="AD583" s="44"/>
      <c r="AE583" s="44"/>
      <c r="AF583" s="44"/>
      <c r="AG583" s="44"/>
      <c r="AH583" s="44"/>
      <c r="AI583" s="44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44"/>
      <c r="AC584" s="44"/>
      <c r="AD584" s="44"/>
      <c r="AE584" s="44"/>
      <c r="AF584" s="44"/>
      <c r="AG584" s="44"/>
      <c r="AH584" s="44"/>
      <c r="AI584" s="44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44"/>
      <c r="AC585" s="44"/>
      <c r="AD585" s="44"/>
      <c r="AE585" s="44"/>
      <c r="AF585" s="44"/>
      <c r="AG585" s="44"/>
      <c r="AH585" s="44"/>
      <c r="AI585" s="44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44"/>
      <c r="AC586" s="44"/>
      <c r="AD586" s="44"/>
      <c r="AE586" s="44"/>
      <c r="AF586" s="44"/>
      <c r="AG586" s="44"/>
      <c r="AH586" s="44"/>
      <c r="AI586" s="44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44"/>
      <c r="AC587" s="44"/>
      <c r="AD587" s="44"/>
      <c r="AE587" s="44"/>
      <c r="AF587" s="44"/>
      <c r="AG587" s="44"/>
      <c r="AH587" s="44"/>
      <c r="AI587" s="44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44"/>
      <c r="AC588" s="44"/>
      <c r="AD588" s="44"/>
      <c r="AE588" s="44"/>
      <c r="AF588" s="44"/>
      <c r="AG588" s="44"/>
      <c r="AH588" s="44"/>
      <c r="AI588" s="44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44"/>
      <c r="AC589" s="44"/>
      <c r="AD589" s="44"/>
      <c r="AE589" s="44"/>
      <c r="AF589" s="44"/>
      <c r="AG589" s="44"/>
      <c r="AH589" s="44"/>
      <c r="AI589" s="44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44"/>
      <c r="AC590" s="44"/>
      <c r="AD590" s="44"/>
      <c r="AE590" s="44"/>
      <c r="AF590" s="44"/>
      <c r="AG590" s="44"/>
      <c r="AH590" s="44"/>
      <c r="AI590" s="44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44"/>
      <c r="AC591" s="44"/>
      <c r="AD591" s="44"/>
      <c r="AE591" s="44"/>
      <c r="AF591" s="44"/>
      <c r="AG591" s="44"/>
      <c r="AH591" s="44"/>
      <c r="AI591" s="44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44"/>
      <c r="AC592" s="44"/>
      <c r="AD592" s="44"/>
      <c r="AE592" s="44"/>
      <c r="AF592" s="44"/>
      <c r="AG592" s="44"/>
      <c r="AH592" s="44"/>
      <c r="AI592" s="44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44"/>
      <c r="AC593" s="44"/>
      <c r="AD593" s="44"/>
      <c r="AE593" s="44"/>
      <c r="AF593" s="44"/>
      <c r="AG593" s="44"/>
      <c r="AH593" s="44"/>
      <c r="AI593" s="44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44"/>
      <c r="AC594" s="44"/>
      <c r="AD594" s="44"/>
      <c r="AE594" s="44"/>
      <c r="AF594" s="44"/>
      <c r="AG594" s="44"/>
      <c r="AH594" s="44"/>
      <c r="AI594" s="44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44"/>
      <c r="AC595" s="44"/>
      <c r="AD595" s="44"/>
      <c r="AE595" s="44"/>
      <c r="AF595" s="44"/>
      <c r="AG595" s="44"/>
      <c r="AH595" s="44"/>
      <c r="AI595" s="44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44"/>
      <c r="AC596" s="44"/>
      <c r="AD596" s="44"/>
      <c r="AE596" s="44"/>
      <c r="AF596" s="44"/>
      <c r="AG596" s="44"/>
      <c r="AH596" s="44"/>
      <c r="AI596" s="44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44"/>
      <c r="AC597" s="44"/>
      <c r="AD597" s="44"/>
      <c r="AE597" s="44"/>
      <c r="AF597" s="44"/>
      <c r="AG597" s="44"/>
      <c r="AH597" s="44"/>
      <c r="AI597" s="44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44"/>
      <c r="AC598" s="44"/>
      <c r="AD598" s="44"/>
      <c r="AE598" s="44"/>
      <c r="AF598" s="44"/>
      <c r="AG598" s="44"/>
      <c r="AH598" s="44"/>
      <c r="AI598" s="44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44"/>
      <c r="AC599" s="44"/>
      <c r="AD599" s="44"/>
      <c r="AE599" s="44"/>
      <c r="AF599" s="44"/>
      <c r="AG599" s="44"/>
      <c r="AH599" s="44"/>
      <c r="AI599" s="44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44"/>
      <c r="AC600" s="44"/>
      <c r="AD600" s="44"/>
      <c r="AE600" s="44"/>
      <c r="AF600" s="44"/>
      <c r="AG600" s="44"/>
      <c r="AH600" s="44"/>
      <c r="AI600" s="44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44"/>
      <c r="AC601" s="44"/>
      <c r="AD601" s="44"/>
      <c r="AE601" s="44"/>
      <c r="AF601" s="44"/>
      <c r="AG601" s="44"/>
      <c r="AH601" s="44"/>
      <c r="AI601" s="44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44"/>
      <c r="AC602" s="44"/>
      <c r="AD602" s="44"/>
      <c r="AE602" s="44"/>
      <c r="AF602" s="44"/>
      <c r="AG602" s="44"/>
      <c r="AH602" s="44"/>
      <c r="AI602" s="44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44"/>
      <c r="AC603" s="44"/>
      <c r="AD603" s="44"/>
      <c r="AE603" s="44"/>
      <c r="AF603" s="44"/>
      <c r="AG603" s="44"/>
      <c r="AH603" s="44"/>
      <c r="AI603" s="44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44"/>
      <c r="AC604" s="44"/>
      <c r="AD604" s="44"/>
      <c r="AE604" s="44"/>
      <c r="AF604" s="44"/>
      <c r="AG604" s="44"/>
      <c r="AH604" s="44"/>
      <c r="AI604" s="44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44"/>
      <c r="AC605" s="44"/>
      <c r="AD605" s="44"/>
      <c r="AE605" s="44"/>
      <c r="AF605" s="44"/>
      <c r="AG605" s="44"/>
      <c r="AH605" s="44"/>
      <c r="AI605" s="44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44"/>
      <c r="AC606" s="44"/>
      <c r="AD606" s="44"/>
      <c r="AE606" s="44"/>
      <c r="AF606" s="44"/>
      <c r="AG606" s="44"/>
      <c r="AH606" s="44"/>
      <c r="AI606" s="44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44"/>
      <c r="AC607" s="44"/>
      <c r="AD607" s="44"/>
      <c r="AE607" s="44"/>
      <c r="AF607" s="44"/>
      <c r="AG607" s="44"/>
      <c r="AH607" s="44"/>
      <c r="AI607" s="44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44"/>
      <c r="AC608" s="44"/>
      <c r="AD608" s="44"/>
      <c r="AE608" s="44"/>
      <c r="AF608" s="44"/>
      <c r="AG608" s="44"/>
      <c r="AH608" s="44"/>
      <c r="AI608" s="44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44"/>
      <c r="AC609" s="44"/>
      <c r="AD609" s="44"/>
      <c r="AE609" s="44"/>
      <c r="AF609" s="44"/>
      <c r="AG609" s="44"/>
      <c r="AH609" s="44"/>
      <c r="AI609" s="44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44"/>
      <c r="AC610" s="44"/>
      <c r="AD610" s="44"/>
      <c r="AE610" s="44"/>
      <c r="AF610" s="44"/>
      <c r="AG610" s="44"/>
      <c r="AH610" s="44"/>
      <c r="AI610" s="44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44"/>
      <c r="AC611" s="44"/>
      <c r="AD611" s="44"/>
      <c r="AE611" s="44"/>
      <c r="AF611" s="44"/>
      <c r="AG611" s="44"/>
      <c r="AH611" s="44"/>
      <c r="AI611" s="44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44"/>
      <c r="AC612" s="44"/>
      <c r="AD612" s="44"/>
      <c r="AE612" s="44"/>
      <c r="AF612" s="44"/>
      <c r="AG612" s="44"/>
      <c r="AH612" s="44"/>
      <c r="AI612" s="44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44"/>
      <c r="AC613" s="44"/>
      <c r="AD613" s="44"/>
      <c r="AE613" s="44"/>
      <c r="AF613" s="44"/>
      <c r="AG613" s="44"/>
      <c r="AH613" s="44"/>
      <c r="AI613" s="44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44"/>
      <c r="AC614" s="44"/>
      <c r="AD614" s="44"/>
      <c r="AE614" s="44"/>
      <c r="AF614" s="44"/>
      <c r="AG614" s="44"/>
      <c r="AH614" s="44"/>
      <c r="AI614" s="44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44"/>
      <c r="AC615" s="44"/>
      <c r="AD615" s="44"/>
      <c r="AE615" s="44"/>
      <c r="AF615" s="44"/>
      <c r="AG615" s="44"/>
      <c r="AH615" s="44"/>
      <c r="AI615" s="44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44"/>
      <c r="AC616" s="44"/>
      <c r="AD616" s="44"/>
      <c r="AE616" s="44"/>
      <c r="AF616" s="44"/>
      <c r="AG616" s="44"/>
      <c r="AH616" s="44"/>
      <c r="AI616" s="44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44"/>
      <c r="AC617" s="44"/>
      <c r="AD617" s="44"/>
      <c r="AE617" s="44"/>
      <c r="AF617" s="44"/>
      <c r="AG617" s="44"/>
      <c r="AH617" s="44"/>
      <c r="AI617" s="44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44"/>
      <c r="AC618" s="44"/>
      <c r="AD618" s="44"/>
      <c r="AE618" s="44"/>
      <c r="AF618" s="44"/>
      <c r="AG618" s="44"/>
      <c r="AH618" s="44"/>
      <c r="AI618" s="44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44"/>
      <c r="AC619" s="44"/>
      <c r="AD619" s="44"/>
      <c r="AE619" s="44"/>
      <c r="AF619" s="44"/>
      <c r="AG619" s="44"/>
      <c r="AH619" s="44"/>
      <c r="AI619" s="44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44"/>
      <c r="AC620" s="44"/>
      <c r="AD620" s="44"/>
      <c r="AE620" s="44"/>
      <c r="AF620" s="44"/>
      <c r="AG620" s="44"/>
      <c r="AH620" s="44"/>
      <c r="AI620" s="44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44"/>
      <c r="AC621" s="44"/>
      <c r="AD621" s="44"/>
      <c r="AE621" s="44"/>
      <c r="AF621" s="44"/>
      <c r="AG621" s="44"/>
      <c r="AH621" s="44"/>
      <c r="AI621" s="44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44"/>
      <c r="AC622" s="44"/>
      <c r="AD622" s="44"/>
      <c r="AE622" s="44"/>
      <c r="AF622" s="44"/>
      <c r="AG622" s="44"/>
      <c r="AH622" s="44"/>
      <c r="AI622" s="44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44"/>
      <c r="AC623" s="44"/>
      <c r="AD623" s="44"/>
      <c r="AE623" s="44"/>
      <c r="AF623" s="44"/>
      <c r="AG623" s="44"/>
      <c r="AH623" s="44"/>
      <c r="AI623" s="44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44"/>
      <c r="AC624" s="44"/>
      <c r="AD624" s="44"/>
      <c r="AE624" s="44"/>
      <c r="AF624" s="44"/>
      <c r="AG624" s="44"/>
      <c r="AH624" s="44"/>
      <c r="AI624" s="44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44"/>
      <c r="AC625" s="44"/>
      <c r="AD625" s="44"/>
      <c r="AE625" s="44"/>
      <c r="AF625" s="44"/>
      <c r="AG625" s="44"/>
      <c r="AH625" s="44"/>
      <c r="AI625" s="44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44"/>
      <c r="AC626" s="44"/>
      <c r="AD626" s="44"/>
      <c r="AE626" s="44"/>
      <c r="AF626" s="44"/>
      <c r="AG626" s="44"/>
      <c r="AH626" s="44"/>
      <c r="AI626" s="44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44"/>
      <c r="AC627" s="44"/>
      <c r="AD627" s="44"/>
      <c r="AE627" s="44"/>
      <c r="AF627" s="44"/>
      <c r="AG627" s="44"/>
      <c r="AH627" s="44"/>
      <c r="AI627" s="44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44"/>
      <c r="AC628" s="44"/>
      <c r="AD628" s="44"/>
      <c r="AE628" s="44"/>
      <c r="AF628" s="44"/>
      <c r="AG628" s="44"/>
      <c r="AH628" s="44"/>
      <c r="AI628" s="44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44"/>
      <c r="AC629" s="44"/>
      <c r="AD629" s="44"/>
      <c r="AE629" s="44"/>
      <c r="AF629" s="44"/>
      <c r="AG629" s="44"/>
      <c r="AH629" s="44"/>
      <c r="AI629" s="44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44"/>
      <c r="AC630" s="44"/>
      <c r="AD630" s="44"/>
      <c r="AE630" s="44"/>
      <c r="AF630" s="44"/>
      <c r="AG630" s="44"/>
      <c r="AH630" s="44"/>
      <c r="AI630" s="44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44"/>
      <c r="AC631" s="44"/>
      <c r="AD631" s="44"/>
      <c r="AE631" s="44"/>
      <c r="AF631" s="44"/>
      <c r="AG631" s="44"/>
      <c r="AH631" s="44"/>
      <c r="AI631" s="44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44"/>
      <c r="AC632" s="44"/>
      <c r="AD632" s="44"/>
      <c r="AE632" s="44"/>
      <c r="AF632" s="44"/>
      <c r="AG632" s="44"/>
      <c r="AH632" s="44"/>
      <c r="AI632" s="44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44"/>
      <c r="AC633" s="44"/>
      <c r="AD633" s="44"/>
      <c r="AE633" s="44"/>
      <c r="AF633" s="44"/>
      <c r="AG633" s="44"/>
      <c r="AH633" s="44"/>
      <c r="AI633" s="44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44"/>
      <c r="AC634" s="44"/>
      <c r="AD634" s="44"/>
      <c r="AE634" s="44"/>
      <c r="AF634" s="44"/>
      <c r="AG634" s="44"/>
      <c r="AH634" s="44"/>
      <c r="AI634" s="44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44"/>
      <c r="AC635" s="44"/>
      <c r="AD635" s="44"/>
      <c r="AE635" s="44"/>
      <c r="AF635" s="44"/>
      <c r="AG635" s="44"/>
      <c r="AH635" s="44"/>
      <c r="AI635" s="44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44"/>
      <c r="AC636" s="44"/>
      <c r="AD636" s="44"/>
      <c r="AE636" s="44"/>
      <c r="AF636" s="44"/>
      <c r="AG636" s="44"/>
      <c r="AH636" s="44"/>
      <c r="AI636" s="44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44"/>
      <c r="AC637" s="44"/>
      <c r="AD637" s="44"/>
      <c r="AE637" s="44"/>
      <c r="AF637" s="44"/>
      <c r="AG637" s="44"/>
      <c r="AH637" s="44"/>
      <c r="AI637" s="44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44"/>
      <c r="AC638" s="44"/>
      <c r="AD638" s="44"/>
      <c r="AE638" s="44"/>
      <c r="AF638" s="44"/>
      <c r="AG638" s="44"/>
      <c r="AH638" s="44"/>
      <c r="AI638" s="44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44"/>
      <c r="AC639" s="44"/>
      <c r="AD639" s="44"/>
      <c r="AE639" s="44"/>
      <c r="AF639" s="44"/>
      <c r="AG639" s="44"/>
      <c r="AH639" s="44"/>
      <c r="AI639" s="44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44"/>
      <c r="AC640" s="44"/>
      <c r="AD640" s="44"/>
      <c r="AE640" s="44"/>
      <c r="AF640" s="44"/>
      <c r="AG640" s="44"/>
      <c r="AH640" s="44"/>
      <c r="AI640" s="44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44"/>
      <c r="AC641" s="44"/>
      <c r="AD641" s="44"/>
      <c r="AE641" s="44"/>
      <c r="AF641" s="44"/>
      <c r="AG641" s="44"/>
      <c r="AH641" s="44"/>
      <c r="AI641" s="44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44"/>
      <c r="AC642" s="44"/>
      <c r="AD642" s="44"/>
      <c r="AE642" s="44"/>
      <c r="AF642" s="44"/>
      <c r="AG642" s="44"/>
      <c r="AH642" s="44"/>
      <c r="AI642" s="44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44"/>
      <c r="AC643" s="44"/>
      <c r="AD643" s="44"/>
      <c r="AE643" s="44"/>
      <c r="AF643" s="44"/>
      <c r="AG643" s="44"/>
      <c r="AH643" s="44"/>
      <c r="AI643" s="44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44"/>
      <c r="AC644" s="44"/>
      <c r="AD644" s="44"/>
      <c r="AE644" s="44"/>
      <c r="AF644" s="44"/>
      <c r="AG644" s="44"/>
      <c r="AH644" s="44"/>
      <c r="AI644" s="44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44"/>
      <c r="AC645" s="44"/>
      <c r="AD645" s="44"/>
      <c r="AE645" s="44"/>
      <c r="AF645" s="44"/>
      <c r="AG645" s="44"/>
      <c r="AH645" s="44"/>
      <c r="AI645" s="44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44"/>
      <c r="AC646" s="44"/>
      <c r="AD646" s="44"/>
      <c r="AE646" s="44"/>
      <c r="AF646" s="44"/>
      <c r="AG646" s="44"/>
      <c r="AH646" s="44"/>
      <c r="AI646" s="44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44"/>
      <c r="AC647" s="44"/>
      <c r="AD647" s="44"/>
      <c r="AE647" s="44"/>
      <c r="AF647" s="44"/>
      <c r="AG647" s="44"/>
      <c r="AH647" s="44"/>
      <c r="AI647" s="44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44"/>
      <c r="AC648" s="44"/>
      <c r="AD648" s="44"/>
      <c r="AE648" s="44"/>
      <c r="AF648" s="44"/>
      <c r="AG648" s="44"/>
      <c r="AH648" s="44"/>
      <c r="AI648" s="44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44"/>
      <c r="AC649" s="44"/>
      <c r="AD649" s="44"/>
      <c r="AE649" s="44"/>
      <c r="AF649" s="44"/>
      <c r="AG649" s="44"/>
      <c r="AH649" s="44"/>
      <c r="AI649" s="44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44"/>
      <c r="AC650" s="44"/>
      <c r="AD650" s="44"/>
      <c r="AE650" s="44"/>
      <c r="AF650" s="44"/>
      <c r="AG650" s="44"/>
      <c r="AH650" s="44"/>
      <c r="AI650" s="44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44"/>
      <c r="AC651" s="44"/>
      <c r="AD651" s="44"/>
      <c r="AE651" s="44"/>
      <c r="AF651" s="44"/>
      <c r="AG651" s="44"/>
      <c r="AH651" s="44"/>
      <c r="AI651" s="44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44"/>
      <c r="AC652" s="44"/>
      <c r="AD652" s="44"/>
      <c r="AE652" s="44"/>
      <c r="AF652" s="44"/>
      <c r="AG652" s="44"/>
      <c r="AH652" s="44"/>
      <c r="AI652" s="44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44"/>
      <c r="AC653" s="44"/>
      <c r="AD653" s="44"/>
      <c r="AE653" s="44"/>
      <c r="AF653" s="44"/>
      <c r="AG653" s="44"/>
      <c r="AH653" s="44"/>
      <c r="AI653" s="44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44"/>
      <c r="AC654" s="44"/>
      <c r="AD654" s="44"/>
      <c r="AE654" s="44"/>
      <c r="AF654" s="44"/>
      <c r="AG654" s="44"/>
      <c r="AH654" s="44"/>
      <c r="AI654" s="44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44"/>
      <c r="AC655" s="44"/>
      <c r="AD655" s="44"/>
      <c r="AE655" s="44"/>
      <c r="AF655" s="44"/>
      <c r="AG655" s="44"/>
      <c r="AH655" s="44"/>
      <c r="AI655" s="44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44"/>
      <c r="AC656" s="44"/>
      <c r="AD656" s="44"/>
      <c r="AE656" s="44"/>
      <c r="AF656" s="44"/>
      <c r="AG656" s="44"/>
      <c r="AH656" s="44"/>
      <c r="AI656" s="44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44"/>
      <c r="AC657" s="44"/>
      <c r="AD657" s="44"/>
      <c r="AE657" s="44"/>
      <c r="AF657" s="44"/>
      <c r="AG657" s="44"/>
      <c r="AH657" s="44"/>
      <c r="AI657" s="44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44"/>
      <c r="AC658" s="44"/>
      <c r="AD658" s="44"/>
      <c r="AE658" s="44"/>
      <c r="AF658" s="44"/>
      <c r="AG658" s="44"/>
      <c r="AH658" s="44"/>
      <c r="AI658" s="44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44"/>
      <c r="AC659" s="44"/>
      <c r="AD659" s="44"/>
      <c r="AE659" s="44"/>
      <c r="AF659" s="44"/>
      <c r="AG659" s="44"/>
      <c r="AH659" s="44"/>
      <c r="AI659" s="44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44"/>
      <c r="AC660" s="44"/>
      <c r="AD660" s="44"/>
      <c r="AE660" s="44"/>
      <c r="AF660" s="44"/>
      <c r="AG660" s="44"/>
      <c r="AH660" s="44"/>
      <c r="AI660" s="44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44"/>
      <c r="AC661" s="44"/>
      <c r="AD661" s="44"/>
      <c r="AE661" s="44"/>
      <c r="AF661" s="44"/>
      <c r="AG661" s="44"/>
      <c r="AH661" s="44"/>
      <c r="AI661" s="44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44"/>
      <c r="AC662" s="44"/>
      <c r="AD662" s="44"/>
      <c r="AE662" s="44"/>
      <c r="AF662" s="44"/>
      <c r="AG662" s="44"/>
      <c r="AH662" s="44"/>
      <c r="AI662" s="44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44"/>
      <c r="AC663" s="44"/>
      <c r="AD663" s="44"/>
      <c r="AE663" s="44"/>
      <c r="AF663" s="44"/>
      <c r="AG663" s="44"/>
      <c r="AH663" s="44"/>
      <c r="AI663" s="44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44"/>
      <c r="AC664" s="44"/>
      <c r="AD664" s="44"/>
      <c r="AE664" s="44"/>
      <c r="AF664" s="44"/>
      <c r="AG664" s="44"/>
      <c r="AH664" s="44"/>
      <c r="AI664" s="44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44"/>
      <c r="AC665" s="44"/>
      <c r="AD665" s="44"/>
      <c r="AE665" s="44"/>
      <c r="AF665" s="44"/>
      <c r="AG665" s="44"/>
      <c r="AH665" s="44"/>
      <c r="AI665" s="44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44"/>
      <c r="AC666" s="44"/>
      <c r="AD666" s="44"/>
      <c r="AE666" s="44"/>
      <c r="AF666" s="44"/>
      <c r="AG666" s="44"/>
      <c r="AH666" s="44"/>
      <c r="AI666" s="44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44"/>
      <c r="AC667" s="44"/>
      <c r="AD667" s="44"/>
      <c r="AE667" s="44"/>
      <c r="AF667" s="44"/>
      <c r="AG667" s="44"/>
      <c r="AH667" s="44"/>
      <c r="AI667" s="44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44"/>
      <c r="AC668" s="44"/>
      <c r="AD668" s="44"/>
      <c r="AE668" s="44"/>
      <c r="AF668" s="44"/>
      <c r="AG668" s="44"/>
      <c r="AH668" s="44"/>
      <c r="AI668" s="44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44"/>
      <c r="AC669" s="44"/>
      <c r="AD669" s="44"/>
      <c r="AE669" s="44"/>
      <c r="AF669" s="44"/>
      <c r="AG669" s="44"/>
      <c r="AH669" s="44"/>
      <c r="AI669" s="44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44"/>
      <c r="AC670" s="44"/>
      <c r="AD670" s="44"/>
      <c r="AE670" s="44"/>
      <c r="AF670" s="44"/>
      <c r="AG670" s="44"/>
      <c r="AH670" s="44"/>
      <c r="AI670" s="44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44"/>
      <c r="AC671" s="44"/>
      <c r="AD671" s="44"/>
      <c r="AE671" s="44"/>
      <c r="AF671" s="44"/>
      <c r="AG671" s="44"/>
      <c r="AH671" s="44"/>
      <c r="AI671" s="44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44"/>
      <c r="AC672" s="44"/>
      <c r="AD672" s="44"/>
      <c r="AE672" s="44"/>
      <c r="AF672" s="44"/>
      <c r="AG672" s="44"/>
      <c r="AH672" s="44"/>
      <c r="AI672" s="44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44"/>
      <c r="AC673" s="44"/>
      <c r="AD673" s="44"/>
      <c r="AE673" s="44"/>
      <c r="AF673" s="44"/>
      <c r="AG673" s="44"/>
      <c r="AH673" s="44"/>
      <c r="AI673" s="44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44"/>
      <c r="AC674" s="44"/>
      <c r="AD674" s="44"/>
      <c r="AE674" s="44"/>
      <c r="AF674" s="44"/>
      <c r="AG674" s="44"/>
      <c r="AH674" s="44"/>
      <c r="AI674" s="44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44"/>
      <c r="AC675" s="44"/>
      <c r="AD675" s="44"/>
      <c r="AE675" s="44"/>
      <c r="AF675" s="44"/>
      <c r="AG675" s="44"/>
      <c r="AH675" s="44"/>
      <c r="AI675" s="44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44"/>
      <c r="AC676" s="44"/>
      <c r="AD676" s="44"/>
      <c r="AE676" s="44"/>
      <c r="AF676" s="44"/>
      <c r="AG676" s="44"/>
      <c r="AH676" s="44"/>
      <c r="AI676" s="44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44"/>
      <c r="AC677" s="44"/>
      <c r="AD677" s="44"/>
      <c r="AE677" s="44"/>
      <c r="AF677" s="44"/>
      <c r="AG677" s="44"/>
      <c r="AH677" s="44"/>
      <c r="AI677" s="44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44"/>
      <c r="AC678" s="44"/>
      <c r="AD678" s="44"/>
      <c r="AE678" s="44"/>
      <c r="AF678" s="44"/>
      <c r="AG678" s="44"/>
      <c r="AH678" s="44"/>
      <c r="AI678" s="44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44"/>
      <c r="AC679" s="44"/>
      <c r="AD679" s="44"/>
      <c r="AE679" s="44"/>
      <c r="AF679" s="44"/>
      <c r="AG679" s="44"/>
      <c r="AH679" s="44"/>
      <c r="AI679" s="44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44"/>
      <c r="AC680" s="44"/>
      <c r="AD680" s="44"/>
      <c r="AE680" s="44"/>
      <c r="AF680" s="44"/>
      <c r="AG680" s="44"/>
      <c r="AH680" s="44"/>
      <c r="AI680" s="44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44"/>
      <c r="AC681" s="44"/>
      <c r="AD681" s="44"/>
      <c r="AE681" s="44"/>
      <c r="AF681" s="44"/>
      <c r="AG681" s="44"/>
      <c r="AH681" s="44"/>
      <c r="AI681" s="44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44"/>
      <c r="AC682" s="44"/>
      <c r="AD682" s="44"/>
      <c r="AE682" s="44"/>
      <c r="AF682" s="44"/>
      <c r="AG682" s="44"/>
      <c r="AH682" s="44"/>
      <c r="AI682" s="44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44"/>
      <c r="AC683" s="44"/>
      <c r="AD683" s="44"/>
      <c r="AE683" s="44"/>
      <c r="AF683" s="44"/>
      <c r="AG683" s="44"/>
      <c r="AH683" s="44"/>
      <c r="AI683" s="44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44"/>
      <c r="AC684" s="44"/>
      <c r="AD684" s="44"/>
      <c r="AE684" s="44"/>
      <c r="AF684" s="44"/>
      <c r="AG684" s="44"/>
      <c r="AH684" s="44"/>
      <c r="AI684" s="44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44"/>
      <c r="AC685" s="44"/>
      <c r="AD685" s="44"/>
      <c r="AE685" s="44"/>
      <c r="AF685" s="44"/>
      <c r="AG685" s="44"/>
      <c r="AH685" s="44"/>
      <c r="AI685" s="44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44"/>
      <c r="AC686" s="44"/>
      <c r="AD686" s="44"/>
      <c r="AE686" s="44"/>
      <c r="AF686" s="44"/>
      <c r="AG686" s="44"/>
      <c r="AH686" s="44"/>
      <c r="AI686" s="44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44"/>
      <c r="AC687" s="44"/>
      <c r="AD687" s="44"/>
      <c r="AE687" s="44"/>
      <c r="AF687" s="44"/>
      <c r="AG687" s="44"/>
      <c r="AH687" s="44"/>
      <c r="AI687" s="44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44"/>
      <c r="AC688" s="44"/>
      <c r="AD688" s="44"/>
      <c r="AE688" s="44"/>
      <c r="AF688" s="44"/>
      <c r="AG688" s="44"/>
      <c r="AH688" s="44"/>
      <c r="AI688" s="44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44"/>
      <c r="AC689" s="44"/>
      <c r="AD689" s="44"/>
      <c r="AE689" s="44"/>
      <c r="AF689" s="44"/>
      <c r="AG689" s="44"/>
      <c r="AH689" s="44"/>
      <c r="AI689" s="44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44"/>
      <c r="AC690" s="44"/>
      <c r="AD690" s="44"/>
      <c r="AE690" s="44"/>
      <c r="AF690" s="44"/>
      <c r="AG690" s="44"/>
      <c r="AH690" s="44"/>
      <c r="AI690" s="44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44"/>
      <c r="AC691" s="44"/>
      <c r="AD691" s="44"/>
      <c r="AE691" s="44"/>
      <c r="AF691" s="44"/>
      <c r="AG691" s="44"/>
      <c r="AH691" s="44"/>
      <c r="AI691" s="44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44"/>
      <c r="AC692" s="44"/>
      <c r="AD692" s="44"/>
      <c r="AE692" s="44"/>
      <c r="AF692" s="44"/>
      <c r="AG692" s="44"/>
      <c r="AH692" s="44"/>
      <c r="AI692" s="44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44"/>
      <c r="AC693" s="44"/>
      <c r="AD693" s="44"/>
      <c r="AE693" s="44"/>
      <c r="AF693" s="44"/>
      <c r="AG693" s="44"/>
      <c r="AH693" s="44"/>
      <c r="AI693" s="44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44"/>
      <c r="AC694" s="44"/>
      <c r="AD694" s="44"/>
      <c r="AE694" s="44"/>
      <c r="AF694" s="44"/>
      <c r="AG694" s="44"/>
      <c r="AH694" s="44"/>
      <c r="AI694" s="44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44"/>
      <c r="AC695" s="44"/>
      <c r="AD695" s="44"/>
      <c r="AE695" s="44"/>
      <c r="AF695" s="44"/>
      <c r="AG695" s="44"/>
      <c r="AH695" s="44"/>
      <c r="AI695" s="44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44"/>
      <c r="AC696" s="44"/>
      <c r="AD696" s="44"/>
      <c r="AE696" s="44"/>
      <c r="AF696" s="44"/>
      <c r="AG696" s="44"/>
      <c r="AH696" s="44"/>
      <c r="AI696" s="44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44"/>
      <c r="AC697" s="44"/>
      <c r="AD697" s="44"/>
      <c r="AE697" s="44"/>
      <c r="AF697" s="44"/>
      <c r="AG697" s="44"/>
      <c r="AH697" s="44"/>
      <c r="AI697" s="44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44"/>
      <c r="AC698" s="44"/>
      <c r="AD698" s="44"/>
      <c r="AE698" s="44"/>
      <c r="AF698" s="44"/>
      <c r="AG698" s="44"/>
      <c r="AH698" s="44"/>
      <c r="AI698" s="44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44"/>
      <c r="AC699" s="44"/>
      <c r="AD699" s="44"/>
      <c r="AE699" s="44"/>
      <c r="AF699" s="44"/>
      <c r="AG699" s="44"/>
      <c r="AH699" s="44"/>
      <c r="AI699" s="44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44"/>
      <c r="AC700" s="44"/>
      <c r="AD700" s="44"/>
      <c r="AE700" s="44"/>
      <c r="AF700" s="44"/>
      <c r="AG700" s="44"/>
      <c r="AH700" s="44"/>
      <c r="AI700" s="44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44"/>
      <c r="AC701" s="44"/>
      <c r="AD701" s="44"/>
      <c r="AE701" s="44"/>
      <c r="AF701" s="44"/>
      <c r="AG701" s="44"/>
      <c r="AH701" s="44"/>
      <c r="AI701" s="44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44"/>
      <c r="AC702" s="44"/>
      <c r="AD702" s="44"/>
      <c r="AE702" s="44"/>
      <c r="AF702" s="44"/>
      <c r="AG702" s="44"/>
      <c r="AH702" s="44"/>
      <c r="AI702" s="44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44"/>
      <c r="AC703" s="44"/>
      <c r="AD703" s="44"/>
      <c r="AE703" s="44"/>
      <c r="AF703" s="44"/>
      <c r="AG703" s="44"/>
      <c r="AH703" s="44"/>
      <c r="AI703" s="44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44"/>
      <c r="AC704" s="44"/>
      <c r="AD704" s="44"/>
      <c r="AE704" s="44"/>
      <c r="AF704" s="44"/>
      <c r="AG704" s="44"/>
      <c r="AH704" s="44"/>
      <c r="AI704" s="44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44"/>
      <c r="AC705" s="44"/>
      <c r="AD705" s="44"/>
      <c r="AE705" s="44"/>
      <c r="AF705" s="44"/>
      <c r="AG705" s="44"/>
      <c r="AH705" s="44"/>
      <c r="AI705" s="44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44"/>
      <c r="AC706" s="44"/>
      <c r="AD706" s="44"/>
      <c r="AE706" s="44"/>
      <c r="AF706" s="44"/>
      <c r="AG706" s="44"/>
      <c r="AH706" s="44"/>
      <c r="AI706" s="44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44"/>
      <c r="AC707" s="44"/>
      <c r="AD707" s="44"/>
      <c r="AE707" s="44"/>
      <c r="AF707" s="44"/>
      <c r="AG707" s="44"/>
      <c r="AH707" s="44"/>
      <c r="AI707" s="44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44"/>
      <c r="AC708" s="44"/>
      <c r="AD708" s="44"/>
      <c r="AE708" s="44"/>
      <c r="AF708" s="44"/>
      <c r="AG708" s="44"/>
      <c r="AH708" s="44"/>
      <c r="AI708" s="44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44"/>
      <c r="AC709" s="44"/>
      <c r="AD709" s="44"/>
      <c r="AE709" s="44"/>
      <c r="AF709" s="44"/>
      <c r="AG709" s="44"/>
      <c r="AH709" s="44"/>
      <c r="AI709" s="44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44"/>
      <c r="AC710" s="44"/>
      <c r="AD710" s="44"/>
      <c r="AE710" s="44"/>
      <c r="AF710" s="44"/>
      <c r="AG710" s="44"/>
      <c r="AH710" s="44"/>
      <c r="AI710" s="44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44"/>
      <c r="AC711" s="44"/>
      <c r="AD711" s="44"/>
      <c r="AE711" s="44"/>
      <c r="AF711" s="44"/>
      <c r="AG711" s="44"/>
      <c r="AH711" s="44"/>
      <c r="AI711" s="44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44"/>
      <c r="AC712" s="44"/>
      <c r="AD712" s="44"/>
      <c r="AE712" s="44"/>
      <c r="AF712" s="44"/>
      <c r="AG712" s="44"/>
      <c r="AH712" s="44"/>
      <c r="AI712" s="44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44"/>
      <c r="AC713" s="44"/>
      <c r="AD713" s="44"/>
      <c r="AE713" s="44"/>
      <c r="AF713" s="44"/>
      <c r="AG713" s="44"/>
      <c r="AH713" s="44"/>
      <c r="AI713" s="44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44"/>
      <c r="AC714" s="44"/>
      <c r="AD714" s="44"/>
      <c r="AE714" s="44"/>
      <c r="AF714" s="44"/>
      <c r="AG714" s="44"/>
      <c r="AH714" s="44"/>
      <c r="AI714" s="44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44"/>
      <c r="AC715" s="44"/>
      <c r="AD715" s="44"/>
      <c r="AE715" s="44"/>
      <c r="AF715" s="44"/>
      <c r="AG715" s="44"/>
      <c r="AH715" s="44"/>
      <c r="AI715" s="44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44"/>
      <c r="AC716" s="44"/>
      <c r="AD716" s="44"/>
      <c r="AE716" s="44"/>
      <c r="AF716" s="44"/>
      <c r="AG716" s="44"/>
      <c r="AH716" s="44"/>
      <c r="AI716" s="44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44"/>
      <c r="AC717" s="44"/>
      <c r="AD717" s="44"/>
      <c r="AE717" s="44"/>
      <c r="AF717" s="44"/>
      <c r="AG717" s="44"/>
      <c r="AH717" s="44"/>
      <c r="AI717" s="44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44"/>
      <c r="AC718" s="44"/>
      <c r="AD718" s="44"/>
      <c r="AE718" s="44"/>
      <c r="AF718" s="44"/>
      <c r="AG718" s="44"/>
      <c r="AH718" s="44"/>
      <c r="AI718" s="44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44"/>
      <c r="AC719" s="44"/>
      <c r="AD719" s="44"/>
      <c r="AE719" s="44"/>
      <c r="AF719" s="44"/>
      <c r="AG719" s="44"/>
      <c r="AH719" s="44"/>
      <c r="AI719" s="44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44"/>
      <c r="AC720" s="44"/>
      <c r="AD720" s="44"/>
      <c r="AE720" s="44"/>
      <c r="AF720" s="44"/>
      <c r="AG720" s="44"/>
      <c r="AH720" s="44"/>
      <c r="AI720" s="44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44"/>
      <c r="AC721" s="44"/>
      <c r="AD721" s="44"/>
      <c r="AE721" s="44"/>
      <c r="AF721" s="44"/>
      <c r="AG721" s="44"/>
      <c r="AH721" s="44"/>
      <c r="AI721" s="44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44"/>
      <c r="AC722" s="44"/>
      <c r="AD722" s="44"/>
      <c r="AE722" s="44"/>
      <c r="AF722" s="44"/>
      <c r="AG722" s="44"/>
      <c r="AH722" s="44"/>
      <c r="AI722" s="44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44"/>
      <c r="AC723" s="44"/>
      <c r="AD723" s="44"/>
      <c r="AE723" s="44"/>
      <c r="AF723" s="44"/>
      <c r="AG723" s="44"/>
      <c r="AH723" s="44"/>
      <c r="AI723" s="44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44"/>
      <c r="AC724" s="44"/>
      <c r="AD724" s="44"/>
      <c r="AE724" s="44"/>
      <c r="AF724" s="44"/>
      <c r="AG724" s="44"/>
      <c r="AH724" s="44"/>
      <c r="AI724" s="44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44"/>
      <c r="AC725" s="44"/>
      <c r="AD725" s="44"/>
      <c r="AE725" s="44"/>
      <c r="AF725" s="44"/>
      <c r="AG725" s="44"/>
      <c r="AH725" s="44"/>
      <c r="AI725" s="44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44"/>
      <c r="AC726" s="44"/>
      <c r="AD726" s="44"/>
      <c r="AE726" s="44"/>
      <c r="AF726" s="44"/>
      <c r="AG726" s="44"/>
      <c r="AH726" s="44"/>
      <c r="AI726" s="44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44"/>
      <c r="AC727" s="44"/>
      <c r="AD727" s="44"/>
      <c r="AE727" s="44"/>
      <c r="AF727" s="44"/>
      <c r="AG727" s="44"/>
      <c r="AH727" s="44"/>
      <c r="AI727" s="44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44"/>
      <c r="AC728" s="44"/>
      <c r="AD728" s="44"/>
      <c r="AE728" s="44"/>
      <c r="AF728" s="44"/>
      <c r="AG728" s="44"/>
      <c r="AH728" s="44"/>
      <c r="AI728" s="44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44"/>
      <c r="AC729" s="44"/>
      <c r="AD729" s="44"/>
      <c r="AE729" s="44"/>
      <c r="AF729" s="44"/>
      <c r="AG729" s="44"/>
      <c r="AH729" s="44"/>
      <c r="AI729" s="44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44"/>
      <c r="AC730" s="44"/>
      <c r="AD730" s="44"/>
      <c r="AE730" s="44"/>
      <c r="AF730" s="44"/>
      <c r="AG730" s="44"/>
      <c r="AH730" s="44"/>
      <c r="AI730" s="44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44"/>
      <c r="AC731" s="44"/>
      <c r="AD731" s="44"/>
      <c r="AE731" s="44"/>
      <c r="AF731" s="44"/>
      <c r="AG731" s="44"/>
      <c r="AH731" s="44"/>
      <c r="AI731" s="44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44"/>
      <c r="AC732" s="44"/>
      <c r="AD732" s="44"/>
      <c r="AE732" s="44"/>
      <c r="AF732" s="44"/>
      <c r="AG732" s="44"/>
      <c r="AH732" s="44"/>
      <c r="AI732" s="44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44"/>
      <c r="AC733" s="44"/>
      <c r="AD733" s="44"/>
      <c r="AE733" s="44"/>
      <c r="AF733" s="44"/>
      <c r="AG733" s="44"/>
      <c r="AH733" s="44"/>
      <c r="AI733" s="44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44"/>
      <c r="AC734" s="44"/>
      <c r="AD734" s="44"/>
      <c r="AE734" s="44"/>
      <c r="AF734" s="44"/>
      <c r="AG734" s="44"/>
      <c r="AH734" s="44"/>
      <c r="AI734" s="44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44"/>
      <c r="AC735" s="44"/>
      <c r="AD735" s="44"/>
      <c r="AE735" s="44"/>
      <c r="AF735" s="44"/>
      <c r="AG735" s="44"/>
      <c r="AH735" s="44"/>
      <c r="AI735" s="44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44"/>
      <c r="AC736" s="44"/>
      <c r="AD736" s="44"/>
      <c r="AE736" s="44"/>
      <c r="AF736" s="44"/>
      <c r="AG736" s="44"/>
      <c r="AH736" s="44"/>
      <c r="AI736" s="44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44"/>
      <c r="AC737" s="44"/>
      <c r="AD737" s="44"/>
      <c r="AE737" s="44"/>
      <c r="AF737" s="44"/>
      <c r="AG737" s="44"/>
      <c r="AH737" s="44"/>
      <c r="AI737" s="44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44"/>
      <c r="AC738" s="44"/>
      <c r="AD738" s="44"/>
      <c r="AE738" s="44"/>
      <c r="AF738" s="44"/>
      <c r="AG738" s="44"/>
      <c r="AH738" s="44"/>
      <c r="AI738" s="44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44"/>
      <c r="AC739" s="44"/>
      <c r="AD739" s="44"/>
      <c r="AE739" s="44"/>
      <c r="AF739" s="44"/>
      <c r="AG739" s="44"/>
      <c r="AH739" s="44"/>
      <c r="AI739" s="44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44"/>
      <c r="AC740" s="44"/>
      <c r="AD740" s="44"/>
      <c r="AE740" s="44"/>
      <c r="AF740" s="44"/>
      <c r="AG740" s="44"/>
      <c r="AH740" s="44"/>
      <c r="AI740" s="44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44"/>
      <c r="AC741" s="44"/>
      <c r="AD741" s="44"/>
      <c r="AE741" s="44"/>
      <c r="AF741" s="44"/>
      <c r="AG741" s="44"/>
      <c r="AH741" s="44"/>
      <c r="AI741" s="44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44"/>
      <c r="AC742" s="44"/>
      <c r="AD742" s="44"/>
      <c r="AE742" s="44"/>
      <c r="AF742" s="44"/>
      <c r="AG742" s="44"/>
      <c r="AH742" s="44"/>
      <c r="AI742" s="44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44"/>
      <c r="AC743" s="44"/>
      <c r="AD743" s="44"/>
      <c r="AE743" s="44"/>
      <c r="AF743" s="44"/>
      <c r="AG743" s="44"/>
      <c r="AH743" s="44"/>
      <c r="AI743" s="44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44"/>
      <c r="AC744" s="44"/>
      <c r="AD744" s="44"/>
      <c r="AE744" s="44"/>
      <c r="AF744" s="44"/>
      <c r="AG744" s="44"/>
      <c r="AH744" s="44"/>
      <c r="AI744" s="44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44"/>
      <c r="AC745" s="44"/>
      <c r="AD745" s="44"/>
      <c r="AE745" s="44"/>
      <c r="AF745" s="44"/>
      <c r="AG745" s="44"/>
      <c r="AH745" s="44"/>
      <c r="AI745" s="44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44"/>
      <c r="AC746" s="44"/>
      <c r="AD746" s="44"/>
      <c r="AE746" s="44"/>
      <c r="AF746" s="44"/>
      <c r="AG746" s="44"/>
      <c r="AH746" s="44"/>
      <c r="AI746" s="44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44"/>
      <c r="AC747" s="44"/>
      <c r="AD747" s="44"/>
      <c r="AE747" s="44"/>
      <c r="AF747" s="44"/>
      <c r="AG747" s="44"/>
      <c r="AH747" s="44"/>
      <c r="AI747" s="44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44"/>
      <c r="AC748" s="44"/>
      <c r="AD748" s="44"/>
      <c r="AE748" s="44"/>
      <c r="AF748" s="44"/>
      <c r="AG748" s="44"/>
      <c r="AH748" s="44"/>
      <c r="AI748" s="44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44"/>
      <c r="AC749" s="44"/>
      <c r="AD749" s="44"/>
      <c r="AE749" s="44"/>
      <c r="AF749" s="44"/>
      <c r="AG749" s="44"/>
      <c r="AH749" s="44"/>
      <c r="AI749" s="44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44"/>
      <c r="AC750" s="44"/>
      <c r="AD750" s="44"/>
      <c r="AE750" s="44"/>
      <c r="AF750" s="44"/>
      <c r="AG750" s="44"/>
      <c r="AH750" s="44"/>
      <c r="AI750" s="44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44"/>
      <c r="AC751" s="44"/>
      <c r="AD751" s="44"/>
      <c r="AE751" s="44"/>
      <c r="AF751" s="44"/>
      <c r="AG751" s="44"/>
      <c r="AH751" s="44"/>
      <c r="AI751" s="44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44"/>
      <c r="AC752" s="44"/>
      <c r="AD752" s="44"/>
      <c r="AE752" s="44"/>
      <c r="AF752" s="44"/>
      <c r="AG752" s="44"/>
      <c r="AH752" s="44"/>
      <c r="AI752" s="44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44"/>
      <c r="AC753" s="44"/>
      <c r="AD753" s="44"/>
      <c r="AE753" s="44"/>
      <c r="AF753" s="44"/>
      <c r="AG753" s="44"/>
      <c r="AH753" s="44"/>
      <c r="AI753" s="44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44"/>
      <c r="AC754" s="44"/>
      <c r="AD754" s="44"/>
      <c r="AE754" s="44"/>
      <c r="AF754" s="44"/>
      <c r="AG754" s="44"/>
      <c r="AH754" s="44"/>
      <c r="AI754" s="44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44"/>
      <c r="AC755" s="44"/>
      <c r="AD755" s="44"/>
      <c r="AE755" s="44"/>
      <c r="AF755" s="44"/>
      <c r="AG755" s="44"/>
      <c r="AH755" s="44"/>
      <c r="AI755" s="44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44"/>
      <c r="AC756" s="44"/>
      <c r="AD756" s="44"/>
      <c r="AE756" s="44"/>
      <c r="AF756" s="44"/>
      <c r="AG756" s="44"/>
      <c r="AH756" s="44"/>
      <c r="AI756" s="44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44"/>
      <c r="AC757" s="44"/>
      <c r="AD757" s="44"/>
      <c r="AE757" s="44"/>
      <c r="AF757" s="44"/>
      <c r="AG757" s="44"/>
      <c r="AH757" s="44"/>
      <c r="AI757" s="44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44"/>
      <c r="AC758" s="44"/>
      <c r="AD758" s="44"/>
      <c r="AE758" s="44"/>
      <c r="AF758" s="44"/>
      <c r="AG758" s="44"/>
      <c r="AH758" s="44"/>
      <c r="AI758" s="44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44"/>
      <c r="AC759" s="44"/>
      <c r="AD759" s="44"/>
      <c r="AE759" s="44"/>
      <c r="AF759" s="44"/>
      <c r="AG759" s="44"/>
      <c r="AH759" s="44"/>
      <c r="AI759" s="44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44"/>
      <c r="AC760" s="44"/>
      <c r="AD760" s="44"/>
      <c r="AE760" s="44"/>
      <c r="AF760" s="44"/>
      <c r="AG760" s="44"/>
      <c r="AH760" s="44"/>
      <c r="AI760" s="44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44"/>
      <c r="AC761" s="44"/>
      <c r="AD761" s="44"/>
      <c r="AE761" s="44"/>
      <c r="AF761" s="44"/>
      <c r="AG761" s="44"/>
      <c r="AH761" s="44"/>
      <c r="AI761" s="44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44"/>
      <c r="AC762" s="44"/>
      <c r="AD762" s="44"/>
      <c r="AE762" s="44"/>
      <c r="AF762" s="44"/>
      <c r="AG762" s="44"/>
      <c r="AH762" s="44"/>
      <c r="AI762" s="44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44"/>
      <c r="AC763" s="44"/>
      <c r="AD763" s="44"/>
      <c r="AE763" s="44"/>
      <c r="AF763" s="44"/>
      <c r="AG763" s="44"/>
      <c r="AH763" s="44"/>
      <c r="AI763" s="44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44"/>
      <c r="AC764" s="44"/>
      <c r="AD764" s="44"/>
      <c r="AE764" s="44"/>
      <c r="AF764" s="44"/>
      <c r="AG764" s="44"/>
      <c r="AH764" s="44"/>
      <c r="AI764" s="44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44"/>
      <c r="AC765" s="44"/>
      <c r="AD765" s="44"/>
      <c r="AE765" s="44"/>
      <c r="AF765" s="44"/>
      <c r="AG765" s="44"/>
      <c r="AH765" s="44"/>
      <c r="AI765" s="44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44"/>
      <c r="AC766" s="44"/>
      <c r="AD766" s="44"/>
      <c r="AE766" s="44"/>
      <c r="AF766" s="44"/>
      <c r="AG766" s="44"/>
      <c r="AH766" s="44"/>
      <c r="AI766" s="44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44"/>
      <c r="AC767" s="44"/>
      <c r="AD767" s="44"/>
      <c r="AE767" s="44"/>
      <c r="AF767" s="44"/>
      <c r="AG767" s="44"/>
      <c r="AH767" s="44"/>
      <c r="AI767" s="44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44"/>
      <c r="AC768" s="44"/>
      <c r="AD768" s="44"/>
      <c r="AE768" s="44"/>
      <c r="AF768" s="44"/>
      <c r="AG768" s="44"/>
      <c r="AH768" s="44"/>
      <c r="AI768" s="44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44"/>
      <c r="AC769" s="44"/>
      <c r="AD769" s="44"/>
      <c r="AE769" s="44"/>
      <c r="AF769" s="44"/>
      <c r="AG769" s="44"/>
      <c r="AH769" s="44"/>
      <c r="AI769" s="44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44"/>
      <c r="AC770" s="44"/>
      <c r="AD770" s="44"/>
      <c r="AE770" s="44"/>
      <c r="AF770" s="44"/>
      <c r="AG770" s="44"/>
      <c r="AH770" s="44"/>
      <c r="AI770" s="44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44"/>
      <c r="AC771" s="44"/>
      <c r="AD771" s="44"/>
      <c r="AE771" s="44"/>
      <c r="AF771" s="44"/>
      <c r="AG771" s="44"/>
      <c r="AH771" s="44"/>
      <c r="AI771" s="44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44"/>
      <c r="AC772" s="44"/>
      <c r="AD772" s="44"/>
      <c r="AE772" s="44"/>
      <c r="AF772" s="44"/>
      <c r="AG772" s="44"/>
      <c r="AH772" s="44"/>
      <c r="AI772" s="44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44"/>
      <c r="AC773" s="44"/>
      <c r="AD773" s="44"/>
      <c r="AE773" s="44"/>
      <c r="AF773" s="44"/>
      <c r="AG773" s="44"/>
      <c r="AH773" s="44"/>
      <c r="AI773" s="44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44"/>
      <c r="AC774" s="44"/>
      <c r="AD774" s="44"/>
      <c r="AE774" s="44"/>
      <c r="AF774" s="44"/>
      <c r="AG774" s="44"/>
      <c r="AH774" s="44"/>
      <c r="AI774" s="44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44"/>
      <c r="AC775" s="44"/>
      <c r="AD775" s="44"/>
      <c r="AE775" s="44"/>
      <c r="AF775" s="44"/>
      <c r="AG775" s="44"/>
      <c r="AH775" s="44"/>
      <c r="AI775" s="44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44"/>
      <c r="AC776" s="44"/>
      <c r="AD776" s="44"/>
      <c r="AE776" s="44"/>
      <c r="AF776" s="44"/>
      <c r="AG776" s="44"/>
      <c r="AH776" s="44"/>
      <c r="AI776" s="44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44"/>
      <c r="AC777" s="44"/>
      <c r="AD777" s="44"/>
      <c r="AE777" s="44"/>
      <c r="AF777" s="44"/>
      <c r="AG777" s="44"/>
      <c r="AH777" s="44"/>
      <c r="AI777" s="44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44"/>
      <c r="AC778" s="44"/>
      <c r="AD778" s="44"/>
      <c r="AE778" s="44"/>
      <c r="AF778" s="44"/>
      <c r="AG778" s="44"/>
      <c r="AH778" s="44"/>
      <c r="AI778" s="44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44"/>
      <c r="AC779" s="44"/>
      <c r="AD779" s="44"/>
      <c r="AE779" s="44"/>
      <c r="AF779" s="44"/>
      <c r="AG779" s="44"/>
      <c r="AH779" s="44"/>
      <c r="AI779" s="44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44"/>
      <c r="AC780" s="44"/>
      <c r="AD780" s="44"/>
      <c r="AE780" s="44"/>
      <c r="AF780" s="44"/>
      <c r="AG780" s="44"/>
      <c r="AH780" s="44"/>
      <c r="AI780" s="44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44"/>
      <c r="AC781" s="44"/>
      <c r="AD781" s="44"/>
      <c r="AE781" s="44"/>
      <c r="AF781" s="44"/>
      <c r="AG781" s="44"/>
      <c r="AH781" s="44"/>
      <c r="AI781" s="44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44"/>
      <c r="AC782" s="44"/>
      <c r="AD782" s="44"/>
      <c r="AE782" s="44"/>
      <c r="AF782" s="44"/>
      <c r="AG782" s="44"/>
      <c r="AH782" s="44"/>
      <c r="AI782" s="44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44"/>
      <c r="AC783" s="44"/>
      <c r="AD783" s="44"/>
      <c r="AE783" s="44"/>
      <c r="AF783" s="44"/>
      <c r="AG783" s="44"/>
      <c r="AH783" s="44"/>
      <c r="AI783" s="44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44"/>
      <c r="AC784" s="44"/>
      <c r="AD784" s="44"/>
      <c r="AE784" s="44"/>
      <c r="AF784" s="44"/>
      <c r="AG784" s="44"/>
      <c r="AH784" s="44"/>
      <c r="AI784" s="44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44"/>
      <c r="AC785" s="44"/>
      <c r="AD785" s="44"/>
      <c r="AE785" s="44"/>
      <c r="AF785" s="44"/>
      <c r="AG785" s="44"/>
      <c r="AH785" s="44"/>
      <c r="AI785" s="44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44"/>
      <c r="AC786" s="44"/>
      <c r="AD786" s="44"/>
      <c r="AE786" s="44"/>
      <c r="AF786" s="44"/>
      <c r="AG786" s="44"/>
      <c r="AH786" s="44"/>
      <c r="AI786" s="44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44"/>
      <c r="AC787" s="44"/>
      <c r="AD787" s="44"/>
      <c r="AE787" s="44"/>
      <c r="AF787" s="44"/>
      <c r="AG787" s="44"/>
      <c r="AH787" s="44"/>
      <c r="AI787" s="44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44"/>
      <c r="AC788" s="44"/>
      <c r="AD788" s="44"/>
      <c r="AE788" s="44"/>
      <c r="AF788" s="44"/>
      <c r="AG788" s="44"/>
      <c r="AH788" s="44"/>
      <c r="AI788" s="44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44"/>
      <c r="AC789" s="44"/>
      <c r="AD789" s="44"/>
      <c r="AE789" s="44"/>
      <c r="AF789" s="44"/>
      <c r="AG789" s="44"/>
      <c r="AH789" s="44"/>
      <c r="AI789" s="44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44"/>
      <c r="AC790" s="44"/>
      <c r="AD790" s="44"/>
      <c r="AE790" s="44"/>
      <c r="AF790" s="44"/>
      <c r="AG790" s="44"/>
      <c r="AH790" s="44"/>
      <c r="AI790" s="44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44"/>
      <c r="AC791" s="44"/>
      <c r="AD791" s="44"/>
      <c r="AE791" s="44"/>
      <c r="AF791" s="44"/>
      <c r="AG791" s="44"/>
      <c r="AH791" s="44"/>
      <c r="AI791" s="44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44"/>
      <c r="AC792" s="44"/>
      <c r="AD792" s="44"/>
      <c r="AE792" s="44"/>
      <c r="AF792" s="44"/>
      <c r="AG792" s="44"/>
      <c r="AH792" s="44"/>
      <c r="AI792" s="44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44"/>
      <c r="AC793" s="44"/>
      <c r="AD793" s="44"/>
      <c r="AE793" s="44"/>
      <c r="AF793" s="44"/>
      <c r="AG793" s="44"/>
      <c r="AH793" s="44"/>
      <c r="AI793" s="44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44"/>
      <c r="AC794" s="44"/>
      <c r="AD794" s="44"/>
      <c r="AE794" s="44"/>
      <c r="AF794" s="44"/>
      <c r="AG794" s="44"/>
      <c r="AH794" s="44"/>
      <c r="AI794" s="44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44"/>
      <c r="AC795" s="44"/>
      <c r="AD795" s="44"/>
      <c r="AE795" s="44"/>
      <c r="AF795" s="44"/>
      <c r="AG795" s="44"/>
      <c r="AH795" s="44"/>
      <c r="AI795" s="44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44"/>
      <c r="AC796" s="44"/>
      <c r="AD796" s="44"/>
      <c r="AE796" s="44"/>
      <c r="AF796" s="44"/>
      <c r="AG796" s="44"/>
      <c r="AH796" s="44"/>
      <c r="AI796" s="44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44"/>
      <c r="AC797" s="44"/>
      <c r="AD797" s="44"/>
      <c r="AE797" s="44"/>
      <c r="AF797" s="44"/>
      <c r="AG797" s="44"/>
      <c r="AH797" s="44"/>
      <c r="AI797" s="44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44"/>
      <c r="AC798" s="44"/>
      <c r="AD798" s="44"/>
      <c r="AE798" s="44"/>
      <c r="AF798" s="44"/>
      <c r="AG798" s="44"/>
      <c r="AH798" s="44"/>
      <c r="AI798" s="44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44"/>
      <c r="AC799" s="44"/>
      <c r="AD799" s="44"/>
      <c r="AE799" s="44"/>
      <c r="AF799" s="44"/>
      <c r="AG799" s="44"/>
      <c r="AH799" s="44"/>
      <c r="AI799" s="44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44"/>
      <c r="AC800" s="44"/>
      <c r="AD800" s="44"/>
      <c r="AE800" s="44"/>
      <c r="AF800" s="44"/>
      <c r="AG800" s="44"/>
      <c r="AH800" s="44"/>
      <c r="AI800" s="44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44"/>
      <c r="AC801" s="44"/>
      <c r="AD801" s="44"/>
      <c r="AE801" s="44"/>
      <c r="AF801" s="44"/>
      <c r="AG801" s="44"/>
      <c r="AH801" s="44"/>
      <c r="AI801" s="44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44"/>
      <c r="AC802" s="44"/>
      <c r="AD802" s="44"/>
      <c r="AE802" s="44"/>
      <c r="AF802" s="44"/>
      <c r="AG802" s="44"/>
      <c r="AH802" s="44"/>
      <c r="AI802" s="44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44"/>
      <c r="AC803" s="44"/>
      <c r="AD803" s="44"/>
      <c r="AE803" s="44"/>
      <c r="AF803" s="44"/>
      <c r="AG803" s="44"/>
      <c r="AH803" s="44"/>
      <c r="AI803" s="44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44"/>
      <c r="AC804" s="44"/>
      <c r="AD804" s="44"/>
      <c r="AE804" s="44"/>
      <c r="AF804" s="44"/>
      <c r="AG804" s="44"/>
      <c r="AH804" s="44"/>
      <c r="AI804" s="44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44"/>
      <c r="AC805" s="44"/>
      <c r="AD805" s="44"/>
      <c r="AE805" s="44"/>
      <c r="AF805" s="44"/>
      <c r="AG805" s="44"/>
      <c r="AH805" s="44"/>
      <c r="AI805" s="44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44"/>
      <c r="AC806" s="44"/>
      <c r="AD806" s="44"/>
      <c r="AE806" s="44"/>
      <c r="AF806" s="44"/>
      <c r="AG806" s="44"/>
      <c r="AH806" s="44"/>
      <c r="AI806" s="44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44"/>
      <c r="AC807" s="44"/>
      <c r="AD807" s="44"/>
      <c r="AE807" s="44"/>
      <c r="AF807" s="44"/>
      <c r="AG807" s="44"/>
      <c r="AH807" s="44"/>
      <c r="AI807" s="44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44"/>
      <c r="AC808" s="44"/>
      <c r="AD808" s="44"/>
      <c r="AE808" s="44"/>
      <c r="AF808" s="44"/>
      <c r="AG808" s="44"/>
      <c r="AH808" s="44"/>
      <c r="AI808" s="44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44"/>
      <c r="AC809" s="44"/>
      <c r="AD809" s="44"/>
      <c r="AE809" s="44"/>
      <c r="AF809" s="44"/>
      <c r="AG809" s="44"/>
      <c r="AH809" s="44"/>
      <c r="AI809" s="44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44"/>
      <c r="AC810" s="44"/>
      <c r="AD810" s="44"/>
      <c r="AE810" s="44"/>
      <c r="AF810" s="44"/>
      <c r="AG810" s="44"/>
      <c r="AH810" s="44"/>
      <c r="AI810" s="44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44"/>
      <c r="AC811" s="44"/>
      <c r="AD811" s="44"/>
      <c r="AE811" s="44"/>
      <c r="AF811" s="44"/>
      <c r="AG811" s="44"/>
      <c r="AH811" s="44"/>
      <c r="AI811" s="44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44"/>
      <c r="AC812" s="44"/>
      <c r="AD812" s="44"/>
      <c r="AE812" s="44"/>
      <c r="AF812" s="44"/>
      <c r="AG812" s="44"/>
      <c r="AH812" s="44"/>
      <c r="AI812" s="44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44"/>
      <c r="AC813" s="44"/>
      <c r="AD813" s="44"/>
      <c r="AE813" s="44"/>
      <c r="AF813" s="44"/>
      <c r="AG813" s="44"/>
      <c r="AH813" s="44"/>
      <c r="AI813" s="44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44"/>
      <c r="AC814" s="44"/>
      <c r="AD814" s="44"/>
      <c r="AE814" s="44"/>
      <c r="AF814" s="44"/>
      <c r="AG814" s="44"/>
      <c r="AH814" s="44"/>
      <c r="AI814" s="44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44"/>
      <c r="AC815" s="44"/>
      <c r="AD815" s="44"/>
      <c r="AE815" s="44"/>
      <c r="AF815" s="44"/>
      <c r="AG815" s="44"/>
      <c r="AH815" s="44"/>
      <c r="AI815" s="44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44"/>
      <c r="AC816" s="44"/>
      <c r="AD816" s="44"/>
      <c r="AE816" s="44"/>
      <c r="AF816" s="44"/>
      <c r="AG816" s="44"/>
      <c r="AH816" s="44"/>
      <c r="AI816" s="44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44"/>
      <c r="AC817" s="44"/>
      <c r="AD817" s="44"/>
      <c r="AE817" s="44"/>
      <c r="AF817" s="44"/>
      <c r="AG817" s="44"/>
      <c r="AH817" s="44"/>
      <c r="AI817" s="44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44"/>
      <c r="AC818" s="44"/>
      <c r="AD818" s="44"/>
      <c r="AE818" s="44"/>
      <c r="AF818" s="44"/>
      <c r="AG818" s="44"/>
      <c r="AH818" s="44"/>
      <c r="AI818" s="44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44"/>
      <c r="AC819" s="44"/>
      <c r="AD819" s="44"/>
      <c r="AE819" s="44"/>
      <c r="AF819" s="44"/>
      <c r="AG819" s="44"/>
      <c r="AH819" s="44"/>
      <c r="AI819" s="44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44"/>
      <c r="AC820" s="44"/>
      <c r="AD820" s="44"/>
      <c r="AE820" s="44"/>
      <c r="AF820" s="44"/>
      <c r="AG820" s="44"/>
      <c r="AH820" s="44"/>
      <c r="AI820" s="44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44"/>
      <c r="AC821" s="44"/>
      <c r="AD821" s="44"/>
      <c r="AE821" s="44"/>
      <c r="AF821" s="44"/>
      <c r="AG821" s="44"/>
      <c r="AH821" s="44"/>
      <c r="AI821" s="44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44"/>
      <c r="AC822" s="44"/>
      <c r="AD822" s="44"/>
      <c r="AE822" s="44"/>
      <c r="AF822" s="44"/>
      <c r="AG822" s="44"/>
      <c r="AH822" s="44"/>
      <c r="AI822" s="44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44"/>
      <c r="AC823" s="44"/>
      <c r="AD823" s="44"/>
      <c r="AE823" s="44"/>
      <c r="AF823" s="44"/>
      <c r="AG823" s="44"/>
      <c r="AH823" s="44"/>
      <c r="AI823" s="44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44"/>
      <c r="AC824" s="44"/>
      <c r="AD824" s="44"/>
      <c r="AE824" s="44"/>
      <c r="AF824" s="44"/>
      <c r="AG824" s="44"/>
      <c r="AH824" s="44"/>
      <c r="AI824" s="44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44"/>
      <c r="AC825" s="44"/>
      <c r="AD825" s="44"/>
      <c r="AE825" s="44"/>
      <c r="AF825" s="44"/>
      <c r="AG825" s="44"/>
      <c r="AH825" s="44"/>
      <c r="AI825" s="44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44"/>
      <c r="AC826" s="44"/>
      <c r="AD826" s="44"/>
      <c r="AE826" s="44"/>
      <c r="AF826" s="44"/>
      <c r="AG826" s="44"/>
      <c r="AH826" s="44"/>
      <c r="AI826" s="44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44"/>
      <c r="AC827" s="44"/>
      <c r="AD827" s="44"/>
      <c r="AE827" s="44"/>
      <c r="AF827" s="44"/>
      <c r="AG827" s="44"/>
      <c r="AH827" s="44"/>
      <c r="AI827" s="44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44"/>
      <c r="AC828" s="44"/>
      <c r="AD828" s="44"/>
      <c r="AE828" s="44"/>
      <c r="AF828" s="44"/>
      <c r="AG828" s="44"/>
      <c r="AH828" s="44"/>
      <c r="AI828" s="44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44"/>
      <c r="AC829" s="44"/>
      <c r="AD829" s="44"/>
      <c r="AE829" s="44"/>
      <c r="AF829" s="44"/>
      <c r="AG829" s="44"/>
      <c r="AH829" s="44"/>
      <c r="AI829" s="44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44"/>
      <c r="AC830" s="44"/>
      <c r="AD830" s="44"/>
      <c r="AE830" s="44"/>
      <c r="AF830" s="44"/>
      <c r="AG830" s="44"/>
      <c r="AH830" s="44"/>
      <c r="AI830" s="44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44"/>
      <c r="AC831" s="44"/>
      <c r="AD831" s="44"/>
      <c r="AE831" s="44"/>
      <c r="AF831" s="44"/>
      <c r="AG831" s="44"/>
      <c r="AH831" s="44"/>
      <c r="AI831" s="44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44"/>
      <c r="AC832" s="44"/>
      <c r="AD832" s="44"/>
      <c r="AE832" s="44"/>
      <c r="AF832" s="44"/>
      <c r="AG832" s="44"/>
      <c r="AH832" s="44"/>
      <c r="AI832" s="44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44"/>
      <c r="AC833" s="44"/>
      <c r="AD833" s="44"/>
      <c r="AE833" s="44"/>
      <c r="AF833" s="44"/>
      <c r="AG833" s="44"/>
      <c r="AH833" s="44"/>
      <c r="AI833" s="44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44"/>
      <c r="AC834" s="44"/>
      <c r="AD834" s="44"/>
      <c r="AE834" s="44"/>
      <c r="AF834" s="44"/>
      <c r="AG834" s="44"/>
      <c r="AH834" s="44"/>
      <c r="AI834" s="44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44"/>
      <c r="AC835" s="44"/>
      <c r="AD835" s="44"/>
      <c r="AE835" s="44"/>
      <c r="AF835" s="44"/>
      <c r="AG835" s="44"/>
      <c r="AH835" s="44"/>
      <c r="AI835" s="44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44"/>
      <c r="AC836" s="44"/>
      <c r="AD836" s="44"/>
      <c r="AE836" s="44"/>
      <c r="AF836" s="44"/>
      <c r="AG836" s="44"/>
      <c r="AH836" s="44"/>
      <c r="AI836" s="44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44"/>
      <c r="AC837" s="44"/>
      <c r="AD837" s="44"/>
      <c r="AE837" s="44"/>
      <c r="AF837" s="44"/>
      <c r="AG837" s="44"/>
      <c r="AH837" s="44"/>
      <c r="AI837" s="44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44"/>
      <c r="AC838" s="44"/>
      <c r="AD838" s="44"/>
      <c r="AE838" s="44"/>
      <c r="AF838" s="44"/>
      <c r="AG838" s="44"/>
      <c r="AH838" s="44"/>
      <c r="AI838" s="44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44"/>
      <c r="AC839" s="44"/>
      <c r="AD839" s="44"/>
      <c r="AE839" s="44"/>
      <c r="AF839" s="44"/>
      <c r="AG839" s="44"/>
      <c r="AH839" s="44"/>
      <c r="AI839" s="44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44"/>
      <c r="AC840" s="44"/>
      <c r="AD840" s="44"/>
      <c r="AE840" s="44"/>
      <c r="AF840" s="44"/>
      <c r="AG840" s="44"/>
      <c r="AH840" s="44"/>
      <c r="AI840" s="44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44"/>
      <c r="AC841" s="44"/>
      <c r="AD841" s="44"/>
      <c r="AE841" s="44"/>
      <c r="AF841" s="44"/>
      <c r="AG841" s="44"/>
      <c r="AH841" s="44"/>
      <c r="AI841" s="44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44"/>
      <c r="AC842" s="44"/>
      <c r="AD842" s="44"/>
      <c r="AE842" s="44"/>
      <c r="AF842" s="44"/>
      <c r="AG842" s="44"/>
      <c r="AH842" s="44"/>
      <c r="AI842" s="44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44"/>
      <c r="AC843" s="44"/>
      <c r="AD843" s="44"/>
      <c r="AE843" s="44"/>
      <c r="AF843" s="44"/>
      <c r="AG843" s="44"/>
      <c r="AH843" s="44"/>
      <c r="AI843" s="44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44"/>
      <c r="AC844" s="44"/>
      <c r="AD844" s="44"/>
      <c r="AE844" s="44"/>
      <c r="AF844" s="44"/>
      <c r="AG844" s="44"/>
      <c r="AH844" s="44"/>
      <c r="AI844" s="44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44"/>
      <c r="AC845" s="44"/>
      <c r="AD845" s="44"/>
      <c r="AE845" s="44"/>
      <c r="AF845" s="44"/>
      <c r="AG845" s="44"/>
      <c r="AH845" s="44"/>
      <c r="AI845" s="44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44"/>
      <c r="AC846" s="44"/>
      <c r="AD846" s="44"/>
      <c r="AE846" s="44"/>
      <c r="AF846" s="44"/>
      <c r="AG846" s="44"/>
      <c r="AH846" s="44"/>
      <c r="AI846" s="44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44"/>
      <c r="AC847" s="44"/>
      <c r="AD847" s="44"/>
      <c r="AE847" s="44"/>
      <c r="AF847" s="44"/>
      <c r="AG847" s="44"/>
      <c r="AH847" s="44"/>
      <c r="AI847" s="44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44"/>
      <c r="AC848" s="44"/>
      <c r="AD848" s="44"/>
      <c r="AE848" s="44"/>
      <c r="AF848" s="44"/>
      <c r="AG848" s="44"/>
      <c r="AH848" s="44"/>
      <c r="AI848" s="44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44"/>
      <c r="AC849" s="44"/>
      <c r="AD849" s="44"/>
      <c r="AE849" s="44"/>
      <c r="AF849" s="44"/>
      <c r="AG849" s="44"/>
      <c r="AH849" s="44"/>
      <c r="AI849" s="44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44"/>
      <c r="AC850" s="44"/>
      <c r="AD850" s="44"/>
      <c r="AE850" s="44"/>
      <c r="AF850" s="44"/>
      <c r="AG850" s="44"/>
      <c r="AH850" s="44"/>
      <c r="AI850" s="44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44"/>
      <c r="AC851" s="44"/>
      <c r="AD851" s="44"/>
      <c r="AE851" s="44"/>
      <c r="AF851" s="44"/>
      <c r="AG851" s="44"/>
      <c r="AH851" s="44"/>
      <c r="AI851" s="44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44"/>
      <c r="AC852" s="44"/>
      <c r="AD852" s="44"/>
      <c r="AE852" s="44"/>
      <c r="AF852" s="44"/>
      <c r="AG852" s="44"/>
      <c r="AH852" s="44"/>
      <c r="AI852" s="44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44"/>
      <c r="AC853" s="44"/>
      <c r="AD853" s="44"/>
      <c r="AE853" s="44"/>
      <c r="AF853" s="44"/>
      <c r="AG853" s="44"/>
      <c r="AH853" s="44"/>
      <c r="AI853" s="44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44"/>
      <c r="AC854" s="44"/>
      <c r="AD854" s="44"/>
      <c r="AE854" s="44"/>
      <c r="AF854" s="44"/>
      <c r="AG854" s="44"/>
      <c r="AH854" s="44"/>
      <c r="AI854" s="44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44"/>
      <c r="AC855" s="44"/>
      <c r="AD855" s="44"/>
      <c r="AE855" s="44"/>
      <c r="AF855" s="44"/>
      <c r="AG855" s="44"/>
      <c r="AH855" s="44"/>
      <c r="AI855" s="44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44"/>
      <c r="AC856" s="44"/>
      <c r="AD856" s="44"/>
      <c r="AE856" s="44"/>
      <c r="AF856" s="44"/>
      <c r="AG856" s="44"/>
      <c r="AH856" s="44"/>
      <c r="AI856" s="44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44"/>
      <c r="AC857" s="44"/>
      <c r="AD857" s="44"/>
      <c r="AE857" s="44"/>
      <c r="AF857" s="44"/>
      <c r="AG857" s="44"/>
      <c r="AH857" s="44"/>
      <c r="AI857" s="44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44"/>
      <c r="AC858" s="44"/>
      <c r="AD858" s="44"/>
      <c r="AE858" s="44"/>
      <c r="AF858" s="44"/>
      <c r="AG858" s="44"/>
      <c r="AH858" s="44"/>
      <c r="AI858" s="44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44"/>
      <c r="AC859" s="44"/>
      <c r="AD859" s="44"/>
      <c r="AE859" s="44"/>
      <c r="AF859" s="44"/>
      <c r="AG859" s="44"/>
      <c r="AH859" s="44"/>
      <c r="AI859" s="44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44"/>
      <c r="AC860" s="44"/>
      <c r="AD860" s="44"/>
      <c r="AE860" s="44"/>
      <c r="AF860" s="44"/>
      <c r="AG860" s="44"/>
      <c r="AH860" s="44"/>
      <c r="AI860" s="44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44"/>
      <c r="AC861" s="44"/>
      <c r="AD861" s="44"/>
      <c r="AE861" s="44"/>
      <c r="AF861" s="44"/>
      <c r="AG861" s="44"/>
      <c r="AH861" s="44"/>
      <c r="AI861" s="44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44"/>
      <c r="AC862" s="44"/>
      <c r="AD862" s="44"/>
      <c r="AE862" s="44"/>
      <c r="AF862" s="44"/>
      <c r="AG862" s="44"/>
      <c r="AH862" s="44"/>
      <c r="AI862" s="44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44"/>
      <c r="AC863" s="44"/>
      <c r="AD863" s="44"/>
      <c r="AE863" s="44"/>
      <c r="AF863" s="44"/>
      <c r="AG863" s="44"/>
      <c r="AH863" s="44"/>
      <c r="AI863" s="44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44"/>
      <c r="AC864" s="44"/>
      <c r="AD864" s="44"/>
      <c r="AE864" s="44"/>
      <c r="AF864" s="44"/>
      <c r="AG864" s="44"/>
      <c r="AH864" s="44"/>
      <c r="AI864" s="44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44"/>
      <c r="AC865" s="44"/>
      <c r="AD865" s="44"/>
      <c r="AE865" s="44"/>
      <c r="AF865" s="44"/>
      <c r="AG865" s="44"/>
      <c r="AH865" s="44"/>
      <c r="AI865" s="44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44"/>
      <c r="AC866" s="44"/>
      <c r="AD866" s="44"/>
      <c r="AE866" s="44"/>
      <c r="AF866" s="44"/>
      <c r="AG866" s="44"/>
      <c r="AH866" s="44"/>
      <c r="AI866" s="44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44"/>
      <c r="AC867" s="44"/>
      <c r="AD867" s="44"/>
      <c r="AE867" s="44"/>
      <c r="AF867" s="44"/>
      <c r="AG867" s="44"/>
      <c r="AH867" s="44"/>
      <c r="AI867" s="44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44"/>
      <c r="AC868" s="44"/>
      <c r="AD868" s="44"/>
      <c r="AE868" s="44"/>
      <c r="AF868" s="44"/>
      <c r="AG868" s="44"/>
      <c r="AH868" s="44"/>
      <c r="AI868" s="44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44"/>
      <c r="AC869" s="44"/>
      <c r="AD869" s="44"/>
      <c r="AE869" s="44"/>
      <c r="AF869" s="44"/>
      <c r="AG869" s="44"/>
      <c r="AH869" s="44"/>
      <c r="AI869" s="44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44"/>
      <c r="AC870" s="44"/>
      <c r="AD870" s="44"/>
      <c r="AE870" s="44"/>
      <c r="AF870" s="44"/>
      <c r="AG870" s="44"/>
      <c r="AH870" s="44"/>
      <c r="AI870" s="44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44"/>
      <c r="AC871" s="44"/>
      <c r="AD871" s="44"/>
      <c r="AE871" s="44"/>
      <c r="AF871" s="44"/>
      <c r="AG871" s="44"/>
      <c r="AH871" s="44"/>
      <c r="AI871" s="44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44"/>
      <c r="AC872" s="44"/>
      <c r="AD872" s="44"/>
      <c r="AE872" s="44"/>
      <c r="AF872" s="44"/>
      <c r="AG872" s="44"/>
      <c r="AH872" s="44"/>
      <c r="AI872" s="44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44"/>
      <c r="AC873" s="44"/>
      <c r="AD873" s="44"/>
      <c r="AE873" s="44"/>
      <c r="AF873" s="44"/>
      <c r="AG873" s="44"/>
      <c r="AH873" s="44"/>
      <c r="AI873" s="44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44"/>
      <c r="AC874" s="44"/>
      <c r="AD874" s="44"/>
      <c r="AE874" s="44"/>
      <c r="AF874" s="44"/>
      <c r="AG874" s="44"/>
      <c r="AH874" s="44"/>
      <c r="AI874" s="44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44"/>
      <c r="AC875" s="44"/>
      <c r="AD875" s="44"/>
      <c r="AE875" s="44"/>
      <c r="AF875" s="44"/>
      <c r="AG875" s="44"/>
      <c r="AH875" s="44"/>
      <c r="AI875" s="44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44"/>
      <c r="AC876" s="44"/>
      <c r="AD876" s="44"/>
      <c r="AE876" s="44"/>
      <c r="AF876" s="44"/>
      <c r="AG876" s="44"/>
      <c r="AH876" s="44"/>
      <c r="AI876" s="44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44"/>
      <c r="AC877" s="44"/>
      <c r="AD877" s="44"/>
      <c r="AE877" s="44"/>
      <c r="AF877" s="44"/>
      <c r="AG877" s="44"/>
      <c r="AH877" s="44"/>
      <c r="AI877" s="44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44"/>
      <c r="AC878" s="44"/>
      <c r="AD878" s="44"/>
      <c r="AE878" s="44"/>
      <c r="AF878" s="44"/>
      <c r="AG878" s="44"/>
      <c r="AH878" s="44"/>
      <c r="AI878" s="44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44"/>
      <c r="AC879" s="44"/>
      <c r="AD879" s="44"/>
      <c r="AE879" s="44"/>
      <c r="AF879" s="44"/>
      <c r="AG879" s="44"/>
      <c r="AH879" s="44"/>
      <c r="AI879" s="44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44"/>
      <c r="AC880" s="44"/>
      <c r="AD880" s="44"/>
      <c r="AE880" s="44"/>
      <c r="AF880" s="44"/>
      <c r="AG880" s="44"/>
      <c r="AH880" s="44"/>
      <c r="AI880" s="44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44"/>
      <c r="AC881" s="44"/>
      <c r="AD881" s="44"/>
      <c r="AE881" s="44"/>
      <c r="AF881" s="44"/>
      <c r="AG881" s="44"/>
      <c r="AH881" s="44"/>
      <c r="AI881" s="44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44"/>
      <c r="AC882" s="44"/>
      <c r="AD882" s="44"/>
      <c r="AE882" s="44"/>
      <c r="AF882" s="44"/>
      <c r="AG882" s="44"/>
      <c r="AH882" s="44"/>
      <c r="AI882" s="44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44"/>
      <c r="AC883" s="44"/>
      <c r="AD883" s="44"/>
      <c r="AE883" s="44"/>
      <c r="AF883" s="44"/>
      <c r="AG883" s="44"/>
      <c r="AH883" s="44"/>
      <c r="AI883" s="44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44"/>
      <c r="AC884" s="44"/>
      <c r="AD884" s="44"/>
      <c r="AE884" s="44"/>
      <c r="AF884" s="44"/>
      <c r="AG884" s="44"/>
      <c r="AH884" s="44"/>
      <c r="AI884" s="44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44"/>
      <c r="AC885" s="44"/>
      <c r="AD885" s="44"/>
      <c r="AE885" s="44"/>
      <c r="AF885" s="44"/>
      <c r="AG885" s="44"/>
      <c r="AH885" s="44"/>
      <c r="AI885" s="44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44"/>
      <c r="AC886" s="44"/>
      <c r="AD886" s="44"/>
      <c r="AE886" s="44"/>
      <c r="AF886" s="44"/>
      <c r="AG886" s="44"/>
      <c r="AH886" s="44"/>
      <c r="AI886" s="44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44"/>
      <c r="AC887" s="44"/>
      <c r="AD887" s="44"/>
      <c r="AE887" s="44"/>
      <c r="AF887" s="44"/>
      <c r="AG887" s="44"/>
      <c r="AH887" s="44"/>
      <c r="AI887" s="44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44"/>
      <c r="AC888" s="44"/>
      <c r="AD888" s="44"/>
      <c r="AE888" s="44"/>
      <c r="AF888" s="44"/>
      <c r="AG888" s="44"/>
      <c r="AH888" s="44"/>
      <c r="AI888" s="44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44"/>
      <c r="AC889" s="44"/>
      <c r="AD889" s="44"/>
      <c r="AE889" s="44"/>
      <c r="AF889" s="44"/>
      <c r="AG889" s="44"/>
      <c r="AH889" s="44"/>
      <c r="AI889" s="44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44"/>
      <c r="AC890" s="44"/>
      <c r="AD890" s="44"/>
      <c r="AE890" s="44"/>
      <c r="AF890" s="44"/>
      <c r="AG890" s="44"/>
      <c r="AH890" s="44"/>
      <c r="AI890" s="44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44"/>
      <c r="AC891" s="44"/>
      <c r="AD891" s="44"/>
      <c r="AE891" s="44"/>
      <c r="AF891" s="44"/>
      <c r="AG891" s="44"/>
      <c r="AH891" s="44"/>
      <c r="AI891" s="44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44"/>
      <c r="AC892" s="44"/>
      <c r="AD892" s="44"/>
      <c r="AE892" s="44"/>
      <c r="AF892" s="44"/>
      <c r="AG892" s="44"/>
      <c r="AH892" s="44"/>
      <c r="AI892" s="44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44"/>
      <c r="AC893" s="44"/>
      <c r="AD893" s="44"/>
      <c r="AE893" s="44"/>
      <c r="AF893" s="44"/>
      <c r="AG893" s="44"/>
      <c r="AH893" s="44"/>
      <c r="AI893" s="44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44"/>
      <c r="AC894" s="44"/>
      <c r="AD894" s="44"/>
      <c r="AE894" s="44"/>
      <c r="AF894" s="44"/>
      <c r="AG894" s="44"/>
      <c r="AH894" s="44"/>
      <c r="AI894" s="44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44"/>
      <c r="AC895" s="44"/>
      <c r="AD895" s="44"/>
      <c r="AE895" s="44"/>
      <c r="AF895" s="44"/>
      <c r="AG895" s="44"/>
      <c r="AH895" s="44"/>
      <c r="AI895" s="44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44"/>
      <c r="AC896" s="44"/>
      <c r="AD896" s="44"/>
      <c r="AE896" s="44"/>
      <c r="AF896" s="44"/>
      <c r="AG896" s="44"/>
      <c r="AH896" s="44"/>
      <c r="AI896" s="44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44"/>
      <c r="AC897" s="44"/>
      <c r="AD897" s="44"/>
      <c r="AE897" s="44"/>
      <c r="AF897" s="44"/>
      <c r="AG897" s="44"/>
      <c r="AH897" s="44"/>
      <c r="AI897" s="44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44"/>
      <c r="AC898" s="44"/>
      <c r="AD898" s="44"/>
      <c r="AE898" s="44"/>
      <c r="AF898" s="44"/>
      <c r="AG898" s="44"/>
      <c r="AH898" s="44"/>
      <c r="AI898" s="44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44"/>
      <c r="AC899" s="44"/>
      <c r="AD899" s="44"/>
      <c r="AE899" s="44"/>
      <c r="AF899" s="44"/>
      <c r="AG899" s="44"/>
      <c r="AH899" s="44"/>
      <c r="AI899" s="44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44"/>
      <c r="AC900" s="44"/>
      <c r="AD900" s="44"/>
      <c r="AE900" s="44"/>
      <c r="AF900" s="44"/>
      <c r="AG900" s="44"/>
      <c r="AH900" s="44"/>
      <c r="AI900" s="44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44"/>
      <c r="AC901" s="44"/>
      <c r="AD901" s="44"/>
      <c r="AE901" s="44"/>
      <c r="AF901" s="44"/>
      <c r="AG901" s="44"/>
      <c r="AH901" s="44"/>
      <c r="AI901" s="44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44"/>
      <c r="AC902" s="44"/>
      <c r="AD902" s="44"/>
      <c r="AE902" s="44"/>
      <c r="AF902" s="44"/>
      <c r="AG902" s="44"/>
      <c r="AH902" s="44"/>
      <c r="AI902" s="44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44"/>
      <c r="AC903" s="44"/>
      <c r="AD903" s="44"/>
      <c r="AE903" s="44"/>
      <c r="AF903" s="44"/>
      <c r="AG903" s="44"/>
      <c r="AH903" s="44"/>
      <c r="AI903" s="44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44"/>
      <c r="AC904" s="44"/>
      <c r="AD904" s="44"/>
      <c r="AE904" s="44"/>
      <c r="AF904" s="44"/>
      <c r="AG904" s="44"/>
      <c r="AH904" s="44"/>
      <c r="AI904" s="44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44"/>
      <c r="AC905" s="44"/>
      <c r="AD905" s="44"/>
      <c r="AE905" s="44"/>
      <c r="AF905" s="44"/>
      <c r="AG905" s="44"/>
      <c r="AH905" s="44"/>
      <c r="AI905" s="44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44"/>
      <c r="AC906" s="44"/>
      <c r="AD906" s="44"/>
      <c r="AE906" s="44"/>
      <c r="AF906" s="44"/>
      <c r="AG906" s="44"/>
      <c r="AH906" s="44"/>
      <c r="AI906" s="44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44"/>
      <c r="AC907" s="44"/>
      <c r="AD907" s="44"/>
      <c r="AE907" s="44"/>
      <c r="AF907" s="44"/>
      <c r="AG907" s="44"/>
      <c r="AH907" s="44"/>
      <c r="AI907" s="44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44"/>
      <c r="AC908" s="44"/>
      <c r="AD908" s="44"/>
      <c r="AE908" s="44"/>
      <c r="AF908" s="44"/>
      <c r="AG908" s="44"/>
      <c r="AH908" s="44"/>
      <c r="AI908" s="44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44"/>
      <c r="AC909" s="44"/>
      <c r="AD909" s="44"/>
      <c r="AE909" s="44"/>
      <c r="AF909" s="44"/>
      <c r="AG909" s="44"/>
      <c r="AH909" s="44"/>
      <c r="AI909" s="44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44"/>
      <c r="AC910" s="44"/>
      <c r="AD910" s="44"/>
      <c r="AE910" s="44"/>
      <c r="AF910" s="44"/>
      <c r="AG910" s="44"/>
      <c r="AH910" s="44"/>
      <c r="AI910" s="44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44"/>
      <c r="AC911" s="44"/>
      <c r="AD911" s="44"/>
      <c r="AE911" s="44"/>
      <c r="AF911" s="44"/>
      <c r="AG911" s="44"/>
      <c r="AH911" s="44"/>
      <c r="AI911" s="44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44"/>
      <c r="AC912" s="44"/>
      <c r="AD912" s="44"/>
      <c r="AE912" s="44"/>
      <c r="AF912" s="44"/>
      <c r="AG912" s="44"/>
      <c r="AH912" s="44"/>
      <c r="AI912" s="44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44"/>
      <c r="AC913" s="44"/>
      <c r="AD913" s="44"/>
      <c r="AE913" s="44"/>
      <c r="AF913" s="44"/>
      <c r="AG913" s="44"/>
      <c r="AH913" s="44"/>
      <c r="AI913" s="44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44"/>
      <c r="AC914" s="44"/>
      <c r="AD914" s="44"/>
      <c r="AE914" s="44"/>
      <c r="AF914" s="44"/>
      <c r="AG914" s="44"/>
      <c r="AH914" s="44"/>
      <c r="AI914" s="44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44"/>
      <c r="AC915" s="44"/>
      <c r="AD915" s="44"/>
      <c r="AE915" s="44"/>
      <c r="AF915" s="44"/>
      <c r="AG915" s="44"/>
      <c r="AH915" s="44"/>
      <c r="AI915" s="44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44"/>
      <c r="AC916" s="44"/>
      <c r="AD916" s="44"/>
      <c r="AE916" s="44"/>
      <c r="AF916" s="44"/>
      <c r="AG916" s="44"/>
      <c r="AH916" s="44"/>
      <c r="AI916" s="44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44"/>
      <c r="AC917" s="44"/>
      <c r="AD917" s="44"/>
      <c r="AE917" s="44"/>
      <c r="AF917" s="44"/>
      <c r="AG917" s="44"/>
      <c r="AH917" s="44"/>
      <c r="AI917" s="44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44"/>
      <c r="AC918" s="44"/>
      <c r="AD918" s="44"/>
      <c r="AE918" s="44"/>
      <c r="AF918" s="44"/>
      <c r="AG918" s="44"/>
      <c r="AH918" s="44"/>
      <c r="AI918" s="44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44"/>
      <c r="AC919" s="44"/>
      <c r="AD919" s="44"/>
      <c r="AE919" s="44"/>
      <c r="AF919" s="44"/>
      <c r="AG919" s="44"/>
      <c r="AH919" s="44"/>
      <c r="AI919" s="44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44"/>
      <c r="AC920" s="44"/>
      <c r="AD920" s="44"/>
      <c r="AE920" s="44"/>
      <c r="AF920" s="44"/>
      <c r="AG920" s="44"/>
      <c r="AH920" s="44"/>
      <c r="AI920" s="44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44"/>
      <c r="AC921" s="44"/>
      <c r="AD921" s="44"/>
      <c r="AE921" s="44"/>
      <c r="AF921" s="44"/>
      <c r="AG921" s="44"/>
      <c r="AH921" s="44"/>
      <c r="AI921" s="44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44"/>
      <c r="AC922" s="44"/>
      <c r="AD922" s="44"/>
      <c r="AE922" s="44"/>
      <c r="AF922" s="44"/>
      <c r="AG922" s="44"/>
      <c r="AH922" s="44"/>
      <c r="AI922" s="44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44"/>
      <c r="AC923" s="44"/>
      <c r="AD923" s="44"/>
      <c r="AE923" s="44"/>
      <c r="AF923" s="44"/>
      <c r="AG923" s="44"/>
      <c r="AH923" s="44"/>
      <c r="AI923" s="44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44"/>
      <c r="AC924" s="44"/>
      <c r="AD924" s="44"/>
      <c r="AE924" s="44"/>
      <c r="AF924" s="44"/>
      <c r="AG924" s="44"/>
      <c r="AH924" s="44"/>
      <c r="AI924" s="44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44"/>
      <c r="AC925" s="44"/>
      <c r="AD925" s="44"/>
      <c r="AE925" s="44"/>
      <c r="AF925" s="44"/>
      <c r="AG925" s="44"/>
      <c r="AH925" s="44"/>
      <c r="AI925" s="44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44"/>
      <c r="AC926" s="44"/>
      <c r="AD926" s="44"/>
      <c r="AE926" s="44"/>
      <c r="AF926" s="44"/>
      <c r="AG926" s="44"/>
      <c r="AH926" s="44"/>
      <c r="AI926" s="44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44"/>
      <c r="AC927" s="44"/>
      <c r="AD927" s="44"/>
      <c r="AE927" s="44"/>
      <c r="AF927" s="44"/>
      <c r="AG927" s="44"/>
      <c r="AH927" s="44"/>
      <c r="AI927" s="44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44"/>
      <c r="AC928" s="44"/>
      <c r="AD928" s="44"/>
      <c r="AE928" s="44"/>
      <c r="AF928" s="44"/>
      <c r="AG928" s="44"/>
      <c r="AH928" s="44"/>
      <c r="AI928" s="44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44"/>
      <c r="AC929" s="44"/>
      <c r="AD929" s="44"/>
      <c r="AE929" s="44"/>
      <c r="AF929" s="44"/>
      <c r="AG929" s="44"/>
      <c r="AH929" s="44"/>
      <c r="AI929" s="44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44"/>
      <c r="AC930" s="44"/>
      <c r="AD930" s="44"/>
      <c r="AE930" s="44"/>
      <c r="AF930" s="44"/>
      <c r="AG930" s="44"/>
      <c r="AH930" s="44"/>
      <c r="AI930" s="44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44"/>
      <c r="AC931" s="44"/>
      <c r="AD931" s="44"/>
      <c r="AE931" s="44"/>
      <c r="AF931" s="44"/>
      <c r="AG931" s="44"/>
      <c r="AH931" s="44"/>
      <c r="AI931" s="44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44"/>
      <c r="AC932" s="44"/>
      <c r="AD932" s="44"/>
      <c r="AE932" s="44"/>
      <c r="AF932" s="44"/>
      <c r="AG932" s="44"/>
      <c r="AH932" s="44"/>
      <c r="AI932" s="44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44"/>
      <c r="AC933" s="44"/>
      <c r="AD933" s="44"/>
      <c r="AE933" s="44"/>
      <c r="AF933" s="44"/>
      <c r="AG933" s="44"/>
      <c r="AH933" s="44"/>
      <c r="AI933" s="44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44"/>
      <c r="AC934" s="44"/>
      <c r="AD934" s="44"/>
      <c r="AE934" s="44"/>
      <c r="AF934" s="44"/>
      <c r="AG934" s="44"/>
      <c r="AH934" s="44"/>
      <c r="AI934" s="44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44"/>
      <c r="AC935" s="44"/>
      <c r="AD935" s="44"/>
      <c r="AE935" s="44"/>
      <c r="AF935" s="44"/>
      <c r="AG935" s="44"/>
      <c r="AH935" s="44"/>
      <c r="AI935" s="44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44"/>
      <c r="AC936" s="44"/>
      <c r="AD936" s="44"/>
      <c r="AE936" s="44"/>
      <c r="AF936" s="44"/>
      <c r="AG936" s="44"/>
      <c r="AH936" s="44"/>
      <c r="AI936" s="44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44"/>
      <c r="AC937" s="44"/>
      <c r="AD937" s="44"/>
      <c r="AE937" s="44"/>
      <c r="AF937" s="44"/>
      <c r="AG937" s="44"/>
      <c r="AH937" s="44"/>
      <c r="AI937" s="44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44"/>
      <c r="AC938" s="44"/>
      <c r="AD938" s="44"/>
      <c r="AE938" s="44"/>
      <c r="AF938" s="44"/>
      <c r="AG938" s="44"/>
      <c r="AH938" s="44"/>
      <c r="AI938" s="44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44"/>
      <c r="AC939" s="44"/>
      <c r="AD939" s="44"/>
      <c r="AE939" s="44"/>
      <c r="AF939" s="44"/>
      <c r="AG939" s="44"/>
      <c r="AH939" s="44"/>
      <c r="AI939" s="44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44"/>
      <c r="AC940" s="44"/>
      <c r="AD940" s="44"/>
      <c r="AE940" s="44"/>
      <c r="AF940" s="44"/>
      <c r="AG940" s="44"/>
      <c r="AH940" s="44"/>
      <c r="AI940" s="44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44"/>
      <c r="AC941" s="44"/>
      <c r="AD941" s="44"/>
      <c r="AE941" s="44"/>
      <c r="AF941" s="44"/>
      <c r="AG941" s="44"/>
      <c r="AH941" s="44"/>
      <c r="AI941" s="44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44"/>
      <c r="AC942" s="44"/>
      <c r="AD942" s="44"/>
      <c r="AE942" s="44"/>
      <c r="AF942" s="44"/>
      <c r="AG942" s="44"/>
      <c r="AH942" s="44"/>
      <c r="AI942" s="44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44"/>
      <c r="AC943" s="44"/>
      <c r="AD943" s="44"/>
      <c r="AE943" s="44"/>
      <c r="AF943" s="44"/>
      <c r="AG943" s="44"/>
      <c r="AH943" s="44"/>
      <c r="AI943" s="44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44"/>
      <c r="AC944" s="44"/>
      <c r="AD944" s="44"/>
      <c r="AE944" s="44"/>
      <c r="AF944" s="44"/>
      <c r="AG944" s="44"/>
      <c r="AH944" s="44"/>
      <c r="AI944" s="44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44"/>
      <c r="AC945" s="44"/>
      <c r="AD945" s="44"/>
      <c r="AE945" s="44"/>
      <c r="AF945" s="44"/>
      <c r="AG945" s="44"/>
      <c r="AH945" s="44"/>
      <c r="AI945" s="44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44"/>
      <c r="AC946" s="44"/>
      <c r="AD946" s="44"/>
      <c r="AE946" s="44"/>
      <c r="AF946" s="44"/>
      <c r="AG946" s="44"/>
      <c r="AH946" s="44"/>
      <c r="AI946" s="44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44"/>
      <c r="AC947" s="44"/>
      <c r="AD947" s="44"/>
      <c r="AE947" s="44"/>
      <c r="AF947" s="44"/>
      <c r="AG947" s="44"/>
      <c r="AH947" s="44"/>
      <c r="AI947" s="44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44"/>
      <c r="AC948" s="44"/>
      <c r="AD948" s="44"/>
      <c r="AE948" s="44"/>
      <c r="AF948" s="44"/>
      <c r="AG948" s="44"/>
      <c r="AH948" s="44"/>
      <c r="AI948" s="44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44"/>
      <c r="AC949" s="44"/>
      <c r="AD949" s="44"/>
      <c r="AE949" s="44"/>
      <c r="AF949" s="44"/>
      <c r="AG949" s="44"/>
      <c r="AH949" s="44"/>
      <c r="AI949" s="44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44"/>
      <c r="AC950" s="44"/>
      <c r="AD950" s="44"/>
      <c r="AE950" s="44"/>
      <c r="AF950" s="44"/>
      <c r="AG950" s="44"/>
      <c r="AH950" s="44"/>
      <c r="AI950" s="44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44"/>
      <c r="AC951" s="44"/>
      <c r="AD951" s="44"/>
      <c r="AE951" s="44"/>
      <c r="AF951" s="44"/>
      <c r="AG951" s="44"/>
      <c r="AH951" s="44"/>
      <c r="AI951" s="44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44"/>
      <c r="AC952" s="44"/>
      <c r="AD952" s="44"/>
      <c r="AE952" s="44"/>
      <c r="AF952" s="44"/>
      <c r="AG952" s="44"/>
      <c r="AH952" s="44"/>
      <c r="AI952" s="44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44"/>
      <c r="AC953" s="44"/>
      <c r="AD953" s="44"/>
      <c r="AE953" s="44"/>
      <c r="AF953" s="44"/>
      <c r="AG953" s="44"/>
      <c r="AH953" s="44"/>
      <c r="AI953" s="44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44"/>
      <c r="AC954" s="44"/>
      <c r="AD954" s="44"/>
      <c r="AE954" s="44"/>
      <c r="AF954" s="44"/>
      <c r="AG954" s="44"/>
      <c r="AH954" s="44"/>
      <c r="AI954" s="44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44"/>
      <c r="AC955" s="44"/>
      <c r="AD955" s="44"/>
      <c r="AE955" s="44"/>
      <c r="AF955" s="44"/>
      <c r="AG955" s="44"/>
      <c r="AH955" s="44"/>
      <c r="AI955" s="44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44"/>
      <c r="AC956" s="44"/>
      <c r="AD956" s="44"/>
      <c r="AE956" s="44"/>
      <c r="AF956" s="44"/>
      <c r="AG956" s="44"/>
      <c r="AH956" s="44"/>
      <c r="AI956" s="44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44"/>
      <c r="AC957" s="44"/>
      <c r="AD957" s="44"/>
      <c r="AE957" s="44"/>
      <c r="AF957" s="44"/>
      <c r="AG957" s="44"/>
      <c r="AH957" s="44"/>
      <c r="AI957" s="44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44"/>
      <c r="AC958" s="44"/>
      <c r="AD958" s="44"/>
      <c r="AE958" s="44"/>
      <c r="AF958" s="44"/>
      <c r="AG958" s="44"/>
      <c r="AH958" s="44"/>
      <c r="AI958" s="44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44"/>
      <c r="AC959" s="44"/>
      <c r="AD959" s="44"/>
      <c r="AE959" s="44"/>
      <c r="AF959" s="44"/>
      <c r="AG959" s="44"/>
      <c r="AH959" s="44"/>
      <c r="AI959" s="44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44"/>
      <c r="AC960" s="44"/>
      <c r="AD960" s="44"/>
      <c r="AE960" s="44"/>
      <c r="AF960" s="44"/>
      <c r="AG960" s="44"/>
      <c r="AH960" s="44"/>
      <c r="AI960" s="44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44"/>
      <c r="AC961" s="44"/>
      <c r="AD961" s="44"/>
      <c r="AE961" s="44"/>
      <c r="AF961" s="44"/>
      <c r="AG961" s="44"/>
      <c r="AH961" s="44"/>
      <c r="AI961" s="44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44"/>
      <c r="AC962" s="44"/>
      <c r="AD962" s="44"/>
      <c r="AE962" s="44"/>
      <c r="AF962" s="44"/>
      <c r="AG962" s="44"/>
      <c r="AH962" s="44"/>
      <c r="AI962" s="44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44"/>
      <c r="AC963" s="44"/>
      <c r="AD963" s="44"/>
      <c r="AE963" s="44"/>
      <c r="AF963" s="44"/>
      <c r="AG963" s="44"/>
      <c r="AH963" s="44"/>
      <c r="AI963" s="44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44"/>
      <c r="AC964" s="44"/>
      <c r="AD964" s="44"/>
      <c r="AE964" s="44"/>
      <c r="AF964" s="44"/>
      <c r="AG964" s="44"/>
      <c r="AH964" s="44"/>
      <c r="AI964" s="44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44"/>
      <c r="AC965" s="44"/>
      <c r="AD965" s="44"/>
      <c r="AE965" s="44"/>
      <c r="AF965" s="44"/>
      <c r="AG965" s="44"/>
      <c r="AH965" s="44"/>
      <c r="AI965" s="44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44"/>
      <c r="AC966" s="44"/>
      <c r="AD966" s="44"/>
      <c r="AE966" s="44"/>
      <c r="AF966" s="44"/>
      <c r="AG966" s="44"/>
      <c r="AH966" s="44"/>
      <c r="AI966" s="44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44"/>
      <c r="AC967" s="44"/>
      <c r="AD967" s="44"/>
      <c r="AE967" s="44"/>
      <c r="AF967" s="44"/>
      <c r="AG967" s="44"/>
      <c r="AH967" s="44"/>
      <c r="AI967" s="44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44"/>
      <c r="AC968" s="44"/>
      <c r="AD968" s="44"/>
      <c r="AE968" s="44"/>
      <c r="AF968" s="44"/>
      <c r="AG968" s="44"/>
      <c r="AH968" s="44"/>
      <c r="AI968" s="44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44"/>
      <c r="AC969" s="44"/>
      <c r="AD969" s="44"/>
      <c r="AE969" s="44"/>
      <c r="AF969" s="44"/>
      <c r="AG969" s="44"/>
      <c r="AH969" s="44"/>
      <c r="AI969" s="44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44"/>
      <c r="AC970" s="44"/>
      <c r="AD970" s="44"/>
      <c r="AE970" s="44"/>
      <c r="AF970" s="44"/>
      <c r="AG970" s="44"/>
      <c r="AH970" s="44"/>
      <c r="AI970" s="44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44"/>
      <c r="AC971" s="44"/>
      <c r="AD971" s="44"/>
      <c r="AE971" s="44"/>
      <c r="AF971" s="44"/>
      <c r="AG971" s="44"/>
      <c r="AH971" s="44"/>
      <c r="AI971" s="44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44"/>
      <c r="AC972" s="44"/>
      <c r="AD972" s="44"/>
      <c r="AE972" s="44"/>
      <c r="AF972" s="44"/>
      <c r="AG972" s="44"/>
      <c r="AH972" s="44"/>
      <c r="AI972" s="44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44"/>
      <c r="AC973" s="44"/>
      <c r="AD973" s="44"/>
      <c r="AE973" s="44"/>
      <c r="AF973" s="44"/>
      <c r="AG973" s="44"/>
      <c r="AH973" s="44"/>
      <c r="AI973" s="44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44"/>
      <c r="AC974" s="44"/>
      <c r="AD974" s="44"/>
      <c r="AE974" s="44"/>
      <c r="AF974" s="44"/>
      <c r="AG974" s="44"/>
      <c r="AH974" s="44"/>
      <c r="AI974" s="44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44"/>
      <c r="AC975" s="44"/>
      <c r="AD975" s="44"/>
      <c r="AE975" s="44"/>
      <c r="AF975" s="44"/>
      <c r="AG975" s="44"/>
      <c r="AH975" s="44"/>
      <c r="AI975" s="44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44"/>
      <c r="AC976" s="44"/>
      <c r="AD976" s="44"/>
      <c r="AE976" s="44"/>
      <c r="AF976" s="44"/>
      <c r="AG976" s="44"/>
      <c r="AH976" s="44"/>
      <c r="AI976" s="44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44"/>
      <c r="AC977" s="44"/>
      <c r="AD977" s="44"/>
      <c r="AE977" s="44"/>
      <c r="AF977" s="44"/>
      <c r="AG977" s="44"/>
      <c r="AH977" s="44"/>
      <c r="AI977" s="44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44"/>
      <c r="AC978" s="44"/>
      <c r="AD978" s="44"/>
      <c r="AE978" s="44"/>
      <c r="AF978" s="44"/>
      <c r="AG978" s="44"/>
      <c r="AH978" s="44"/>
      <c r="AI978" s="44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44"/>
      <c r="AC979" s="44"/>
      <c r="AD979" s="44"/>
      <c r="AE979" s="44"/>
      <c r="AF979" s="44"/>
      <c r="AG979" s="44"/>
      <c r="AH979" s="44"/>
      <c r="AI979" s="44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44"/>
      <c r="AC980" s="44"/>
      <c r="AD980" s="44"/>
      <c r="AE980" s="44"/>
      <c r="AF980" s="44"/>
      <c r="AG980" s="44"/>
      <c r="AH980" s="44"/>
      <c r="AI980" s="44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44"/>
      <c r="AC981" s="44"/>
      <c r="AD981" s="44"/>
      <c r="AE981" s="44"/>
      <c r="AF981" s="44"/>
      <c r="AG981" s="44"/>
      <c r="AH981" s="44"/>
      <c r="AI981" s="44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44"/>
      <c r="AC982" s="44"/>
      <c r="AD982" s="44"/>
      <c r="AE982" s="44"/>
      <c r="AF982" s="44"/>
      <c r="AG982" s="44"/>
      <c r="AH982" s="44"/>
      <c r="AI982" s="44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44"/>
      <c r="AC983" s="44"/>
      <c r="AD983" s="44"/>
      <c r="AE983" s="44"/>
      <c r="AF983" s="44"/>
      <c r="AG983" s="44"/>
      <c r="AH983" s="44"/>
      <c r="AI983" s="44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44"/>
      <c r="AC984" s="44"/>
      <c r="AD984" s="44"/>
      <c r="AE984" s="44"/>
      <c r="AF984" s="44"/>
      <c r="AG984" s="44"/>
      <c r="AH984" s="44"/>
      <c r="AI984" s="44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44"/>
      <c r="AC985" s="44"/>
      <c r="AD985" s="44"/>
      <c r="AE985" s="44"/>
      <c r="AF985" s="44"/>
      <c r="AG985" s="44"/>
      <c r="AH985" s="44"/>
      <c r="AI985" s="44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44"/>
      <c r="AC986" s="44"/>
      <c r="AD986" s="44"/>
      <c r="AE986" s="44"/>
      <c r="AF986" s="44"/>
      <c r="AG986" s="44"/>
      <c r="AH986" s="44"/>
      <c r="AI986" s="44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44"/>
      <c r="AC987" s="44"/>
      <c r="AD987" s="44"/>
      <c r="AE987" s="44"/>
      <c r="AF987" s="44"/>
      <c r="AG987" s="44"/>
      <c r="AH987" s="44"/>
      <c r="AI987" s="44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44"/>
      <c r="AC988" s="44"/>
      <c r="AD988" s="44"/>
      <c r="AE988" s="44"/>
      <c r="AF988" s="44"/>
      <c r="AG988" s="44"/>
      <c r="AH988" s="44"/>
      <c r="AI988" s="44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44"/>
      <c r="AC989" s="44"/>
      <c r="AD989" s="44"/>
      <c r="AE989" s="44"/>
      <c r="AF989" s="44"/>
      <c r="AG989" s="44"/>
      <c r="AH989" s="44"/>
      <c r="AI989" s="44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44"/>
      <c r="AC990" s="44"/>
      <c r="AD990" s="44"/>
      <c r="AE990" s="44"/>
      <c r="AF990" s="44"/>
      <c r="AG990" s="44"/>
      <c r="AH990" s="44"/>
      <c r="AI990" s="44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44"/>
      <c r="AC991" s="44"/>
      <c r="AD991" s="44"/>
      <c r="AE991" s="44"/>
      <c r="AF991" s="44"/>
      <c r="AG991" s="44"/>
      <c r="AH991" s="44"/>
      <c r="AI991" s="44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44"/>
      <c r="AC992" s="44"/>
      <c r="AD992" s="44"/>
      <c r="AE992" s="44"/>
      <c r="AF992" s="44"/>
      <c r="AG992" s="44"/>
      <c r="AH992" s="44"/>
      <c r="AI992" s="44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44"/>
      <c r="AC993" s="44"/>
      <c r="AD993" s="44"/>
      <c r="AE993" s="44"/>
      <c r="AF993" s="44"/>
      <c r="AG993" s="44"/>
      <c r="AH993" s="44"/>
      <c r="AI993" s="44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44"/>
      <c r="AC994" s="44"/>
      <c r="AD994" s="44"/>
      <c r="AE994" s="44"/>
      <c r="AF994" s="44"/>
      <c r="AG994" s="44"/>
      <c r="AH994" s="44"/>
      <c r="AI994" s="44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44"/>
      <c r="AC995" s="44"/>
      <c r="AD995" s="44"/>
      <c r="AE995" s="44"/>
      <c r="AF995" s="44"/>
      <c r="AG995" s="44"/>
      <c r="AH995" s="44"/>
      <c r="AI995" s="44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44"/>
      <c r="AC996" s="44"/>
      <c r="AD996" s="44"/>
      <c r="AE996" s="44"/>
      <c r="AF996" s="44"/>
      <c r="AG996" s="44"/>
      <c r="AH996" s="44"/>
      <c r="AI996" s="44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44"/>
      <c r="AC997" s="44"/>
      <c r="AD997" s="44"/>
      <c r="AE997" s="44"/>
      <c r="AF997" s="44"/>
      <c r="AG997" s="44"/>
      <c r="AH997" s="44"/>
      <c r="AI997" s="44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44"/>
      <c r="AC998" s="44"/>
      <c r="AD998" s="44"/>
      <c r="AE998" s="44"/>
      <c r="AF998" s="44"/>
      <c r="AG998" s="44"/>
      <c r="AH998" s="44"/>
      <c r="AI998" s="44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44"/>
      <c r="AC999" s="44"/>
      <c r="AD999" s="44"/>
      <c r="AE999" s="44"/>
      <c r="AF999" s="44"/>
      <c r="AG999" s="44"/>
      <c r="AH999" s="44"/>
      <c r="AI999" s="44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44"/>
      <c r="AC1000" s="44"/>
      <c r="AD1000" s="44"/>
      <c r="AE1000" s="44"/>
      <c r="AF1000" s="44"/>
      <c r="AG1000" s="44"/>
      <c r="AH1000" s="44"/>
      <c r="AI1000" s="44"/>
    </row>
    <row r="1001" ht="15.75" customHeight="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44"/>
      <c r="AC1001" s="44"/>
      <c r="AD1001" s="44"/>
      <c r="AE1001" s="44"/>
      <c r="AF1001" s="44"/>
      <c r="AG1001" s="44"/>
      <c r="AH1001" s="44"/>
      <c r="AI1001" s="44"/>
    </row>
    <row r="1002" ht="15.75" customHeight="1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44"/>
      <c r="AC1002" s="44"/>
      <c r="AD1002" s="44"/>
      <c r="AE1002" s="44"/>
      <c r="AF1002" s="44"/>
      <c r="AG1002" s="44"/>
      <c r="AH1002" s="44"/>
      <c r="AI1002" s="44"/>
    </row>
    <row r="1003" ht="15.75" customHeight="1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44"/>
      <c r="AC1003" s="44"/>
      <c r="AD1003" s="44"/>
      <c r="AE1003" s="44"/>
      <c r="AF1003" s="44"/>
      <c r="AG1003" s="44"/>
      <c r="AH1003" s="44"/>
      <c r="AI1003" s="44"/>
    </row>
    <row r="1004" ht="15.75" customHeight="1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44"/>
      <c r="AC1004" s="44"/>
      <c r="AD1004" s="44"/>
      <c r="AE1004" s="44"/>
      <c r="AF1004" s="44"/>
      <c r="AG1004" s="44"/>
      <c r="AH1004" s="44"/>
      <c r="AI1004" s="44"/>
    </row>
    <row r="1005" ht="15.75" customHeight="1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44"/>
      <c r="AC1005" s="44"/>
      <c r="AD1005" s="44"/>
      <c r="AE1005" s="44"/>
      <c r="AF1005" s="44"/>
      <c r="AG1005" s="44"/>
      <c r="AH1005" s="44"/>
      <c r="AI1005" s="44"/>
    </row>
    <row r="1006" ht="15.75" customHeight="1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44"/>
      <c r="AC1006" s="44"/>
      <c r="AD1006" s="44"/>
      <c r="AE1006" s="44"/>
      <c r="AF1006" s="44"/>
      <c r="AG1006" s="44"/>
      <c r="AH1006" s="44"/>
      <c r="AI1006" s="44"/>
    </row>
    <row r="1007" ht="15.75" customHeight="1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44"/>
      <c r="AC1007" s="44"/>
      <c r="AD1007" s="44"/>
      <c r="AE1007" s="44"/>
      <c r="AF1007" s="44"/>
      <c r="AG1007" s="44"/>
      <c r="AH1007" s="44"/>
      <c r="AI1007" s="44"/>
    </row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44"/>
  </cols>
  <sheetData>
    <row r="1">
      <c r="A1" s="98" t="s">
        <v>84</v>
      </c>
      <c r="Q1" s="99"/>
      <c r="AB1" s="100" t="s">
        <v>85</v>
      </c>
      <c r="AC1" s="100" t="s">
        <v>28</v>
      </c>
      <c r="AD1" s="100" t="s">
        <v>86</v>
      </c>
    </row>
    <row r="2">
      <c r="A2" s="101" t="s">
        <v>87</v>
      </c>
      <c r="B2" s="102" t="s">
        <v>3</v>
      </c>
      <c r="C2" s="102" t="s">
        <v>63</v>
      </c>
      <c r="D2" s="102" t="s">
        <v>62</v>
      </c>
      <c r="E2" s="102" t="s">
        <v>6</v>
      </c>
      <c r="F2" s="102" t="s">
        <v>18</v>
      </c>
      <c r="G2" s="102" t="s">
        <v>8</v>
      </c>
      <c r="H2" s="102" t="s">
        <v>9</v>
      </c>
      <c r="I2" s="102" t="s">
        <v>10</v>
      </c>
      <c r="J2" s="102" t="s">
        <v>12</v>
      </c>
      <c r="K2" s="102" t="s">
        <v>88</v>
      </c>
      <c r="L2" s="102" t="s">
        <v>15</v>
      </c>
      <c r="M2" s="102" t="s">
        <v>16</v>
      </c>
      <c r="N2" s="102" t="s">
        <v>14</v>
      </c>
      <c r="O2" s="102" t="s">
        <v>19</v>
      </c>
      <c r="P2" s="102" t="s">
        <v>20</v>
      </c>
      <c r="Q2" s="102" t="s">
        <v>11</v>
      </c>
      <c r="R2" s="101" t="s">
        <v>89</v>
      </c>
      <c r="S2" s="102" t="s">
        <v>61</v>
      </c>
      <c r="T2" s="102" t="s">
        <v>62</v>
      </c>
      <c r="U2" s="102" t="s">
        <v>63</v>
      </c>
      <c r="V2" s="102" t="s">
        <v>64</v>
      </c>
      <c r="W2" s="102" t="s">
        <v>12</v>
      </c>
      <c r="X2" s="102" t="s">
        <v>88</v>
      </c>
      <c r="Y2" s="102" t="s">
        <v>10</v>
      </c>
      <c r="Z2" s="102" t="s">
        <v>70</v>
      </c>
      <c r="AA2" s="103"/>
      <c r="AB2" s="104">
        <v>1.0</v>
      </c>
      <c r="AC2" s="104">
        <v>1.0</v>
      </c>
      <c r="AD2" s="104" t="s">
        <v>40</v>
      </c>
      <c r="AE2" s="105"/>
    </row>
    <row r="3">
      <c r="A3" s="106" t="s">
        <v>90</v>
      </c>
      <c r="B3" s="107">
        <v>2.0</v>
      </c>
      <c r="C3" s="107">
        <v>1.0</v>
      </c>
      <c r="D3" s="107">
        <v>0.0</v>
      </c>
      <c r="E3" s="107">
        <v>0.0</v>
      </c>
      <c r="F3" s="107">
        <v>0.0</v>
      </c>
      <c r="G3" s="107">
        <v>0.0</v>
      </c>
      <c r="H3" s="107">
        <v>0.0</v>
      </c>
      <c r="I3" s="107">
        <v>0.0</v>
      </c>
      <c r="J3" s="107">
        <v>0.0</v>
      </c>
      <c r="K3" s="107">
        <v>2.0</v>
      </c>
      <c r="L3" s="107">
        <v>0.0</v>
      </c>
      <c r="M3" s="107">
        <v>1.0</v>
      </c>
      <c r="N3" s="107">
        <v>1.0</v>
      </c>
      <c r="O3" s="107">
        <v>0.333</v>
      </c>
      <c r="P3" s="107">
        <v>0.0</v>
      </c>
      <c r="Q3" s="107">
        <v>0.0</v>
      </c>
      <c r="R3" s="106" t="s">
        <v>91</v>
      </c>
      <c r="S3" s="107">
        <v>4.1</v>
      </c>
      <c r="T3" s="107">
        <v>3.0</v>
      </c>
      <c r="U3" s="107">
        <v>3.0</v>
      </c>
      <c r="V3" s="107">
        <v>3.0</v>
      </c>
      <c r="W3" s="107">
        <v>2.0</v>
      </c>
      <c r="X3" s="107">
        <v>6.0</v>
      </c>
      <c r="Y3" s="108">
        <v>1.0</v>
      </c>
      <c r="Z3" s="107">
        <v>4.846</v>
      </c>
      <c r="AA3" s="109"/>
      <c r="AB3" s="110">
        <v>2.0</v>
      </c>
      <c r="AC3" s="110">
        <v>3.0</v>
      </c>
      <c r="AD3" s="110" t="s">
        <v>38</v>
      </c>
      <c r="AE3" s="111"/>
    </row>
    <row r="4">
      <c r="A4" s="106" t="s">
        <v>92</v>
      </c>
      <c r="B4" s="112">
        <v>2.0</v>
      </c>
      <c r="C4" s="112">
        <v>2.0</v>
      </c>
      <c r="D4" s="112">
        <v>0.0</v>
      </c>
      <c r="E4" s="112">
        <v>0.0</v>
      </c>
      <c r="F4" s="112">
        <v>0.0</v>
      </c>
      <c r="G4" s="112">
        <v>0.0</v>
      </c>
      <c r="H4" s="112">
        <v>0.0</v>
      </c>
      <c r="I4" s="112">
        <v>0.0</v>
      </c>
      <c r="J4" s="112">
        <v>2.0</v>
      </c>
      <c r="K4" s="112">
        <v>2.0</v>
      </c>
      <c r="L4" s="112">
        <v>0.0</v>
      </c>
      <c r="M4" s="112">
        <v>0.0</v>
      </c>
      <c r="N4" s="112">
        <v>1.0</v>
      </c>
      <c r="O4" s="112">
        <v>0.6</v>
      </c>
      <c r="P4" s="112">
        <v>0.0</v>
      </c>
      <c r="Q4" s="112">
        <v>0.0</v>
      </c>
      <c r="R4" s="106" t="s">
        <v>93</v>
      </c>
      <c r="S4" s="112">
        <v>1.1</v>
      </c>
      <c r="T4" s="112">
        <v>2.0</v>
      </c>
      <c r="U4" s="112">
        <v>4.0</v>
      </c>
      <c r="V4" s="112">
        <v>4.0</v>
      </c>
      <c r="W4" s="112">
        <v>4.0</v>
      </c>
      <c r="X4" s="112">
        <v>2.0</v>
      </c>
      <c r="Y4" s="113">
        <v>1.0</v>
      </c>
      <c r="Z4" s="112">
        <v>21.0</v>
      </c>
      <c r="AA4" s="114"/>
      <c r="AB4" s="115">
        <v>3.0</v>
      </c>
      <c r="AC4" s="115">
        <v>0.0</v>
      </c>
      <c r="AD4" s="116"/>
      <c r="AE4" s="116"/>
    </row>
    <row r="5">
      <c r="A5" s="106" t="s">
        <v>94</v>
      </c>
      <c r="B5" s="107">
        <v>3.0</v>
      </c>
      <c r="C5" s="107">
        <v>1.0</v>
      </c>
      <c r="D5" s="107">
        <v>1.0</v>
      </c>
      <c r="E5" s="107">
        <v>2.0</v>
      </c>
      <c r="F5" s="107">
        <v>0.333</v>
      </c>
      <c r="G5" s="107">
        <v>1.0</v>
      </c>
      <c r="H5" s="107">
        <v>0.0</v>
      </c>
      <c r="I5" s="107">
        <v>0.0</v>
      </c>
      <c r="J5" s="107">
        <v>1.0</v>
      </c>
      <c r="K5" s="107">
        <v>1.0</v>
      </c>
      <c r="L5" s="107">
        <v>0.0</v>
      </c>
      <c r="M5" s="107">
        <v>0.0</v>
      </c>
      <c r="N5" s="107">
        <v>0.0</v>
      </c>
      <c r="O5" s="107">
        <v>0.5</v>
      </c>
      <c r="P5" s="107">
        <v>0.667</v>
      </c>
      <c r="Q5" s="107">
        <v>0.0</v>
      </c>
      <c r="R5" s="106" t="s">
        <v>95</v>
      </c>
      <c r="S5" s="107">
        <v>1.0</v>
      </c>
      <c r="T5" s="107">
        <v>1.0</v>
      </c>
      <c r="U5" s="107">
        <v>0.0</v>
      </c>
      <c r="V5" s="107">
        <v>0.0</v>
      </c>
      <c r="W5" s="107">
        <v>0.0</v>
      </c>
      <c r="X5" s="107">
        <v>0.0</v>
      </c>
      <c r="Y5" s="107">
        <v>0.0</v>
      </c>
      <c r="Z5" s="107">
        <v>0.0</v>
      </c>
      <c r="AA5" s="109"/>
      <c r="AB5" s="110">
        <v>4.0</v>
      </c>
      <c r="AC5" s="110">
        <v>3.0</v>
      </c>
      <c r="AD5" s="110" t="s">
        <v>46</v>
      </c>
      <c r="AE5" s="111"/>
    </row>
    <row r="6">
      <c r="A6" s="106" t="s">
        <v>96</v>
      </c>
      <c r="B6" s="112">
        <v>3.0</v>
      </c>
      <c r="C6" s="112">
        <v>0.0</v>
      </c>
      <c r="D6" s="112">
        <v>1.0</v>
      </c>
      <c r="E6" s="112">
        <v>1.0</v>
      </c>
      <c r="F6" s="112">
        <v>0.333</v>
      </c>
      <c r="G6" s="112">
        <v>0.0</v>
      </c>
      <c r="H6" s="112">
        <v>0.0</v>
      </c>
      <c r="I6" s="112">
        <v>0.0</v>
      </c>
      <c r="J6" s="112">
        <v>0.0</v>
      </c>
      <c r="K6" s="112">
        <v>0.0</v>
      </c>
      <c r="L6" s="112">
        <v>0.0</v>
      </c>
      <c r="M6" s="112">
        <v>1.0</v>
      </c>
      <c r="N6" s="112">
        <v>0.0</v>
      </c>
      <c r="O6" s="112">
        <v>0.333</v>
      </c>
      <c r="P6" s="112">
        <v>0.333</v>
      </c>
      <c r="Q6" s="112">
        <v>1.0</v>
      </c>
      <c r="R6" s="106" t="s">
        <v>97</v>
      </c>
      <c r="S6" s="112">
        <v>0.1</v>
      </c>
      <c r="T6" s="112">
        <v>0.0</v>
      </c>
      <c r="U6" s="112">
        <v>0.0</v>
      </c>
      <c r="V6" s="112">
        <v>0.0</v>
      </c>
      <c r="W6" s="112">
        <v>0.0</v>
      </c>
      <c r="X6" s="112">
        <v>0.0</v>
      </c>
      <c r="Y6" s="112">
        <v>0.0</v>
      </c>
      <c r="Z6" s="112">
        <v>0.0</v>
      </c>
      <c r="AA6" s="114"/>
      <c r="AB6" s="115">
        <v>5.0</v>
      </c>
      <c r="AC6" s="115">
        <v>3.0</v>
      </c>
      <c r="AD6" s="115" t="s">
        <v>46</v>
      </c>
      <c r="AE6" s="116"/>
    </row>
    <row r="7">
      <c r="A7" s="106" t="s">
        <v>98</v>
      </c>
      <c r="B7" s="107">
        <v>4.0</v>
      </c>
      <c r="C7" s="107">
        <v>0.0</v>
      </c>
      <c r="D7" s="107">
        <v>1.0</v>
      </c>
      <c r="E7" s="107">
        <v>1.0</v>
      </c>
      <c r="F7" s="107">
        <v>0.25</v>
      </c>
      <c r="G7" s="107">
        <v>0.0</v>
      </c>
      <c r="H7" s="107">
        <v>0.0</v>
      </c>
      <c r="I7" s="107">
        <v>0.0</v>
      </c>
      <c r="J7" s="107">
        <v>0.0</v>
      </c>
      <c r="K7" s="107">
        <v>1.0</v>
      </c>
      <c r="L7" s="107">
        <v>0.0</v>
      </c>
      <c r="M7" s="107">
        <v>0.0</v>
      </c>
      <c r="N7" s="107">
        <v>0.0</v>
      </c>
      <c r="O7" s="107">
        <v>0.25</v>
      </c>
      <c r="P7" s="107">
        <v>0.25</v>
      </c>
      <c r="Q7" s="107">
        <v>0.0</v>
      </c>
      <c r="R7" s="117" t="s">
        <v>99</v>
      </c>
      <c r="S7" s="107">
        <v>7.0</v>
      </c>
      <c r="T7" s="107">
        <v>6.0</v>
      </c>
      <c r="U7" s="107">
        <v>7.0</v>
      </c>
      <c r="V7" s="107">
        <v>7.0</v>
      </c>
      <c r="W7" s="107">
        <v>6.0</v>
      </c>
      <c r="X7" s="107">
        <v>8.0</v>
      </c>
      <c r="Y7" s="107">
        <v>0.0</v>
      </c>
      <c r="Z7" s="107">
        <v>7.0</v>
      </c>
      <c r="AA7" s="109"/>
      <c r="AB7" s="110">
        <v>6.0</v>
      </c>
      <c r="AC7" s="110">
        <v>2.0</v>
      </c>
      <c r="AD7" s="110" t="s">
        <v>50</v>
      </c>
      <c r="AE7" s="111"/>
    </row>
    <row r="8">
      <c r="A8" s="106" t="s">
        <v>100</v>
      </c>
      <c r="B8" s="112">
        <v>4.0</v>
      </c>
      <c r="C8" s="112">
        <v>1.0</v>
      </c>
      <c r="D8" s="112">
        <v>2.0</v>
      </c>
      <c r="E8" s="112">
        <v>1.0</v>
      </c>
      <c r="F8" s="112">
        <v>0.5</v>
      </c>
      <c r="G8" s="112">
        <v>0.0</v>
      </c>
      <c r="H8" s="112">
        <v>0.0</v>
      </c>
      <c r="I8" s="112">
        <v>0.0</v>
      </c>
      <c r="J8" s="112">
        <v>0.0</v>
      </c>
      <c r="K8" s="112">
        <v>1.0</v>
      </c>
      <c r="L8" s="112">
        <v>1.0</v>
      </c>
      <c r="M8" s="112">
        <v>0.0</v>
      </c>
      <c r="N8" s="112">
        <v>0.0</v>
      </c>
      <c r="O8" s="112">
        <v>0.4</v>
      </c>
      <c r="P8" s="112">
        <v>0.5</v>
      </c>
      <c r="Q8" s="112">
        <v>1.0</v>
      </c>
      <c r="R8" s="118"/>
      <c r="AB8" s="100">
        <v>7.0</v>
      </c>
      <c r="AD8" s="119"/>
    </row>
    <row r="9">
      <c r="A9" s="106" t="s">
        <v>101</v>
      </c>
      <c r="B9" s="107">
        <v>2.0</v>
      </c>
      <c r="C9" s="107">
        <v>1.0</v>
      </c>
      <c r="D9" s="107">
        <v>1.0</v>
      </c>
      <c r="E9" s="107">
        <v>1.0</v>
      </c>
      <c r="F9" s="107">
        <v>0.5</v>
      </c>
      <c r="G9" s="107">
        <v>0.0</v>
      </c>
      <c r="H9" s="107">
        <v>0.0</v>
      </c>
      <c r="I9" s="107">
        <v>0.0</v>
      </c>
      <c r="J9" s="107">
        <v>3.0</v>
      </c>
      <c r="K9" s="107">
        <v>1.0</v>
      </c>
      <c r="L9" s="107">
        <v>0.0</v>
      </c>
      <c r="M9" s="107">
        <v>0.0</v>
      </c>
      <c r="N9" s="107">
        <v>0.0</v>
      </c>
      <c r="O9" s="107">
        <v>0.8</v>
      </c>
      <c r="P9" s="107">
        <v>0.5</v>
      </c>
      <c r="Q9" s="107">
        <v>0.0</v>
      </c>
      <c r="AD9" s="119"/>
    </row>
    <row r="10">
      <c r="A10" s="106" t="s">
        <v>102</v>
      </c>
      <c r="B10" s="112">
        <v>3.0</v>
      </c>
      <c r="C10" s="112">
        <v>2.0</v>
      </c>
      <c r="D10" s="112">
        <v>1.0</v>
      </c>
      <c r="E10" s="112">
        <v>1.0</v>
      </c>
      <c r="F10" s="112">
        <v>0.333</v>
      </c>
      <c r="G10" s="112">
        <v>0.0</v>
      </c>
      <c r="H10" s="112">
        <v>0.0</v>
      </c>
      <c r="I10" s="112">
        <v>0.0</v>
      </c>
      <c r="J10" s="112">
        <v>0.0</v>
      </c>
      <c r="K10" s="112">
        <v>0.0</v>
      </c>
      <c r="L10" s="112">
        <v>0.0</v>
      </c>
      <c r="M10" s="112">
        <v>0.0</v>
      </c>
      <c r="N10" s="112">
        <v>1.0</v>
      </c>
      <c r="O10" s="112">
        <v>0.5</v>
      </c>
      <c r="P10" s="112">
        <v>0.333</v>
      </c>
      <c r="Q10" s="112">
        <v>0.0</v>
      </c>
      <c r="AD10" s="119"/>
    </row>
    <row r="11">
      <c r="A11" s="106" t="s">
        <v>103</v>
      </c>
      <c r="B11" s="107">
        <v>1.0</v>
      </c>
      <c r="C11" s="107">
        <v>1.0</v>
      </c>
      <c r="D11" s="107">
        <v>1.0</v>
      </c>
      <c r="E11" s="107">
        <v>2.0</v>
      </c>
      <c r="F11" s="107">
        <v>1.0</v>
      </c>
      <c r="G11" s="107">
        <v>0.0</v>
      </c>
      <c r="H11" s="107">
        <v>0.0</v>
      </c>
      <c r="I11" s="107">
        <v>0.0</v>
      </c>
      <c r="J11" s="107">
        <v>3.0</v>
      </c>
      <c r="K11" s="107">
        <v>0.0</v>
      </c>
      <c r="L11" s="107">
        <v>0.0</v>
      </c>
      <c r="M11" s="107">
        <v>0.0</v>
      </c>
      <c r="N11" s="107">
        <v>0.0</v>
      </c>
      <c r="O11" s="107">
        <v>1.0</v>
      </c>
      <c r="P11" s="107">
        <v>1.0</v>
      </c>
      <c r="Q11" s="107">
        <v>1.0</v>
      </c>
      <c r="AD11" s="119"/>
    </row>
    <row r="12">
      <c r="A12" s="120" t="s">
        <v>99</v>
      </c>
      <c r="B12" s="112">
        <v>24.0</v>
      </c>
      <c r="C12" s="112">
        <v>9.0</v>
      </c>
      <c r="D12" s="112">
        <v>8.0</v>
      </c>
      <c r="E12" s="112">
        <v>9.0</v>
      </c>
      <c r="F12" s="112">
        <v>0.333</v>
      </c>
      <c r="G12" s="112">
        <v>1.0</v>
      </c>
      <c r="H12" s="112">
        <v>0.0</v>
      </c>
      <c r="I12" s="112">
        <v>0.0</v>
      </c>
      <c r="J12" s="112">
        <v>9.0</v>
      </c>
      <c r="K12" s="112">
        <v>8.0</v>
      </c>
      <c r="L12" s="112">
        <v>1.0</v>
      </c>
      <c r="M12" s="112">
        <v>2.0</v>
      </c>
      <c r="N12" s="112">
        <v>3.0</v>
      </c>
      <c r="O12" s="112">
        <v>0.541</v>
      </c>
      <c r="P12" s="112">
        <v>0.375</v>
      </c>
      <c r="Q12" s="112">
        <v>3.0</v>
      </c>
      <c r="AD12" s="119"/>
    </row>
    <row r="13">
      <c r="A13" s="118"/>
      <c r="AD13" s="119"/>
    </row>
    <row r="14">
      <c r="A14" s="98" t="s">
        <v>84</v>
      </c>
      <c r="Q14" s="99"/>
      <c r="AD14" s="119"/>
    </row>
    <row r="15">
      <c r="A15" s="101" t="s">
        <v>87</v>
      </c>
      <c r="B15" s="102" t="s">
        <v>3</v>
      </c>
      <c r="C15" s="102" t="s">
        <v>63</v>
      </c>
      <c r="D15" s="102" t="s">
        <v>62</v>
      </c>
      <c r="E15" s="102" t="s">
        <v>6</v>
      </c>
      <c r="F15" s="102" t="s">
        <v>18</v>
      </c>
      <c r="G15" s="102" t="s">
        <v>8</v>
      </c>
      <c r="H15" s="102" t="s">
        <v>9</v>
      </c>
      <c r="I15" s="102" t="s">
        <v>10</v>
      </c>
      <c r="J15" s="102" t="s">
        <v>12</v>
      </c>
      <c r="K15" s="102" t="s">
        <v>88</v>
      </c>
      <c r="L15" s="102" t="s">
        <v>15</v>
      </c>
      <c r="M15" s="102" t="s">
        <v>16</v>
      </c>
      <c r="N15" s="102" t="s">
        <v>14</v>
      </c>
      <c r="O15" s="102" t="s">
        <v>19</v>
      </c>
      <c r="P15" s="102" t="s">
        <v>20</v>
      </c>
      <c r="Q15" s="102" t="s">
        <v>11</v>
      </c>
      <c r="R15" s="101" t="s">
        <v>89</v>
      </c>
      <c r="S15" s="102" t="s">
        <v>61</v>
      </c>
      <c r="T15" s="102" t="s">
        <v>62</v>
      </c>
      <c r="U15" s="102" t="s">
        <v>63</v>
      </c>
      <c r="V15" s="102" t="s">
        <v>64</v>
      </c>
      <c r="W15" s="102" t="s">
        <v>12</v>
      </c>
      <c r="X15" s="102" t="s">
        <v>88</v>
      </c>
      <c r="Y15" s="102" t="s">
        <v>10</v>
      </c>
      <c r="Z15" s="102" t="s">
        <v>70</v>
      </c>
      <c r="AA15" s="103"/>
      <c r="AB15" s="104">
        <v>1.0</v>
      </c>
      <c r="AC15" s="104">
        <v>2.0</v>
      </c>
      <c r="AD15" s="104" t="s">
        <v>49</v>
      </c>
      <c r="AE15" s="105"/>
    </row>
    <row r="16">
      <c r="A16" s="106" t="s">
        <v>104</v>
      </c>
      <c r="B16" s="107">
        <v>2.0</v>
      </c>
      <c r="C16" s="107">
        <v>1.0</v>
      </c>
      <c r="D16" s="107">
        <v>0.0</v>
      </c>
      <c r="E16" s="107">
        <v>0.0</v>
      </c>
      <c r="F16" s="107">
        <v>0.0</v>
      </c>
      <c r="G16" s="107">
        <v>0.0</v>
      </c>
      <c r="H16" s="107">
        <v>0.0</v>
      </c>
      <c r="I16" s="107">
        <v>0.0</v>
      </c>
      <c r="J16" s="107">
        <v>1.0</v>
      </c>
      <c r="K16" s="107">
        <v>1.0</v>
      </c>
      <c r="L16" s="107">
        <v>0.0</v>
      </c>
      <c r="M16" s="107">
        <v>0.0</v>
      </c>
      <c r="N16" s="107">
        <v>0.0</v>
      </c>
      <c r="O16" s="107">
        <v>0.333</v>
      </c>
      <c r="P16" s="107">
        <v>0.0</v>
      </c>
      <c r="Q16" s="107">
        <v>0.0</v>
      </c>
      <c r="R16" s="106" t="s">
        <v>105</v>
      </c>
      <c r="S16" s="107">
        <v>5.0</v>
      </c>
      <c r="T16" s="107">
        <v>0.0</v>
      </c>
      <c r="U16" s="107">
        <v>0.0</v>
      </c>
      <c r="V16" s="107">
        <v>0.0</v>
      </c>
      <c r="W16" s="107">
        <v>1.0</v>
      </c>
      <c r="X16" s="107">
        <v>4.0</v>
      </c>
      <c r="Y16" s="107">
        <v>0.0</v>
      </c>
      <c r="Z16" s="107">
        <v>0.0</v>
      </c>
      <c r="AA16" s="109"/>
      <c r="AB16" s="110">
        <v>2.0</v>
      </c>
      <c r="AC16" s="110">
        <v>1.0</v>
      </c>
      <c r="AD16" s="110" t="s">
        <v>46</v>
      </c>
      <c r="AE16" s="111"/>
    </row>
    <row r="17">
      <c r="A17" s="106" t="s">
        <v>106</v>
      </c>
      <c r="B17" s="112">
        <v>3.0</v>
      </c>
      <c r="C17" s="112">
        <v>1.0</v>
      </c>
      <c r="D17" s="112">
        <v>2.0</v>
      </c>
      <c r="E17" s="112">
        <v>1.0</v>
      </c>
      <c r="F17" s="112">
        <v>0.667</v>
      </c>
      <c r="G17" s="112">
        <v>0.0</v>
      </c>
      <c r="H17" s="112">
        <v>1.0</v>
      </c>
      <c r="I17" s="112">
        <v>0.0</v>
      </c>
      <c r="J17" s="112">
        <v>0.0</v>
      </c>
      <c r="K17" s="112">
        <v>0.0</v>
      </c>
      <c r="L17" s="112">
        <v>0.0</v>
      </c>
      <c r="M17" s="112">
        <v>0.0</v>
      </c>
      <c r="N17" s="112">
        <v>0.0</v>
      </c>
      <c r="O17" s="112">
        <v>0.667</v>
      </c>
      <c r="P17" s="112">
        <v>1.333</v>
      </c>
      <c r="Q17" s="112">
        <v>0.0</v>
      </c>
      <c r="R17" s="120" t="s">
        <v>99</v>
      </c>
      <c r="S17" s="112">
        <v>5.0</v>
      </c>
      <c r="T17" s="112">
        <v>0.0</v>
      </c>
      <c r="U17" s="112">
        <v>0.0</v>
      </c>
      <c r="V17" s="112">
        <v>0.0</v>
      </c>
      <c r="W17" s="112">
        <v>1.0</v>
      </c>
      <c r="X17" s="112">
        <v>4.0</v>
      </c>
      <c r="Y17" s="112">
        <v>0.0</v>
      </c>
      <c r="Z17" s="112">
        <v>0.0</v>
      </c>
      <c r="AA17" s="114"/>
      <c r="AB17" s="115">
        <v>3.0</v>
      </c>
      <c r="AC17" s="115">
        <v>3.0</v>
      </c>
      <c r="AD17" s="115" t="s">
        <v>40</v>
      </c>
      <c r="AE17" s="116"/>
    </row>
    <row r="18">
      <c r="A18" s="106" t="s">
        <v>107</v>
      </c>
      <c r="B18" s="107">
        <v>2.0</v>
      </c>
      <c r="C18" s="107">
        <v>1.0</v>
      </c>
      <c r="D18" s="107">
        <v>0.0</v>
      </c>
      <c r="E18" s="107">
        <v>0.0</v>
      </c>
      <c r="F18" s="107">
        <v>0.0</v>
      </c>
      <c r="G18" s="107">
        <v>0.0</v>
      </c>
      <c r="H18" s="107">
        <v>0.0</v>
      </c>
      <c r="I18" s="107">
        <v>0.0</v>
      </c>
      <c r="J18" s="107">
        <v>1.0</v>
      </c>
      <c r="K18" s="107">
        <v>1.0</v>
      </c>
      <c r="L18" s="107">
        <v>0.0</v>
      </c>
      <c r="M18" s="107">
        <v>0.0</v>
      </c>
      <c r="N18" s="107">
        <v>0.0</v>
      </c>
      <c r="O18" s="107">
        <v>0.333</v>
      </c>
      <c r="P18" s="107">
        <v>0.0</v>
      </c>
      <c r="Q18" s="107">
        <v>1.0</v>
      </c>
      <c r="R18" s="118"/>
      <c r="AB18" s="110">
        <v>4.0</v>
      </c>
      <c r="AC18" s="100">
        <v>1.0</v>
      </c>
      <c r="AD18" s="100" t="s">
        <v>44</v>
      </c>
    </row>
    <row r="19">
      <c r="A19" s="106" t="s">
        <v>108</v>
      </c>
      <c r="B19" s="112">
        <v>3.0</v>
      </c>
      <c r="C19" s="112">
        <v>1.0</v>
      </c>
      <c r="D19" s="112">
        <v>1.0</v>
      </c>
      <c r="E19" s="112">
        <v>2.0</v>
      </c>
      <c r="F19" s="112">
        <v>0.333</v>
      </c>
      <c r="G19" s="112">
        <v>1.0</v>
      </c>
      <c r="H19" s="112">
        <v>0.0</v>
      </c>
      <c r="I19" s="112">
        <v>0.0</v>
      </c>
      <c r="J19" s="112">
        <v>0.0</v>
      </c>
      <c r="K19" s="112">
        <v>1.0</v>
      </c>
      <c r="L19" s="112">
        <v>0.0</v>
      </c>
      <c r="M19" s="112">
        <v>0.0</v>
      </c>
      <c r="N19" s="112">
        <v>0.0</v>
      </c>
      <c r="O19" s="112">
        <v>0.333</v>
      </c>
      <c r="P19" s="112">
        <v>0.667</v>
      </c>
      <c r="Q19" s="112">
        <v>0.0</v>
      </c>
      <c r="AB19" s="115">
        <v>5.0</v>
      </c>
      <c r="AD19" s="119"/>
    </row>
    <row r="20">
      <c r="A20" s="106" t="s">
        <v>109</v>
      </c>
      <c r="B20" s="107">
        <v>2.0</v>
      </c>
      <c r="C20" s="107">
        <v>1.0</v>
      </c>
      <c r="D20" s="107">
        <v>1.0</v>
      </c>
      <c r="E20" s="107">
        <v>0.0</v>
      </c>
      <c r="F20" s="107">
        <v>0.5</v>
      </c>
      <c r="G20" s="107">
        <v>1.0</v>
      </c>
      <c r="H20" s="107">
        <v>0.0</v>
      </c>
      <c r="I20" s="107">
        <v>0.0</v>
      </c>
      <c r="J20" s="107">
        <v>2.0</v>
      </c>
      <c r="K20" s="107">
        <v>0.0</v>
      </c>
      <c r="L20" s="107">
        <v>0.0</v>
      </c>
      <c r="M20" s="107">
        <v>0.0</v>
      </c>
      <c r="N20" s="107">
        <v>0.0</v>
      </c>
      <c r="O20" s="107">
        <v>0.75</v>
      </c>
      <c r="P20" s="107">
        <v>1.0</v>
      </c>
      <c r="Q20" s="107">
        <v>1.0</v>
      </c>
      <c r="AB20" s="110">
        <v>6.0</v>
      </c>
      <c r="AD20" s="119"/>
    </row>
    <row r="21">
      <c r="A21" s="106" t="s">
        <v>110</v>
      </c>
      <c r="B21" s="112">
        <v>1.0</v>
      </c>
      <c r="C21" s="112">
        <v>0.0</v>
      </c>
      <c r="D21" s="112">
        <v>1.0</v>
      </c>
      <c r="E21" s="112">
        <v>3.0</v>
      </c>
      <c r="F21" s="112">
        <v>1.0</v>
      </c>
      <c r="G21" s="112">
        <v>1.0</v>
      </c>
      <c r="H21" s="112">
        <v>0.0</v>
      </c>
      <c r="I21" s="112">
        <v>0.0</v>
      </c>
      <c r="J21" s="112">
        <v>2.0</v>
      </c>
      <c r="K21" s="112">
        <v>0.0</v>
      </c>
      <c r="L21" s="112">
        <v>1.0</v>
      </c>
      <c r="M21" s="112">
        <v>0.0</v>
      </c>
      <c r="N21" s="112">
        <v>0.0</v>
      </c>
      <c r="O21" s="112">
        <v>0.75</v>
      </c>
      <c r="P21" s="112">
        <v>2.0</v>
      </c>
      <c r="Q21" s="112">
        <v>1.0</v>
      </c>
      <c r="AB21" s="100">
        <v>7.0</v>
      </c>
      <c r="AD21" s="119"/>
    </row>
    <row r="22">
      <c r="A22" s="106" t="s">
        <v>111</v>
      </c>
      <c r="B22" s="107">
        <v>2.0</v>
      </c>
      <c r="C22" s="107">
        <v>1.0</v>
      </c>
      <c r="D22" s="107">
        <v>2.0</v>
      </c>
      <c r="E22" s="107">
        <v>2.0</v>
      </c>
      <c r="F22" s="107">
        <v>1.0</v>
      </c>
      <c r="G22" s="107">
        <v>1.0</v>
      </c>
      <c r="H22" s="107">
        <v>0.0</v>
      </c>
      <c r="I22" s="107">
        <v>0.0</v>
      </c>
      <c r="J22" s="107">
        <v>1.0</v>
      </c>
      <c r="K22" s="107">
        <v>0.0</v>
      </c>
      <c r="L22" s="107">
        <v>0.0</v>
      </c>
      <c r="M22" s="107">
        <v>0.0</v>
      </c>
      <c r="N22" s="107">
        <v>0.0</v>
      </c>
      <c r="O22" s="107">
        <v>1.0</v>
      </c>
      <c r="P22" s="107">
        <v>1.5</v>
      </c>
      <c r="Q22" s="107">
        <v>1.0</v>
      </c>
      <c r="AD22" s="119"/>
    </row>
    <row r="23">
      <c r="A23" s="106" t="s">
        <v>112</v>
      </c>
      <c r="B23" s="112">
        <v>3.0</v>
      </c>
      <c r="C23" s="112">
        <v>2.0</v>
      </c>
      <c r="D23" s="112">
        <v>2.0</v>
      </c>
      <c r="E23" s="112">
        <v>1.0</v>
      </c>
      <c r="F23" s="112">
        <v>0.667</v>
      </c>
      <c r="G23" s="112">
        <v>0.0</v>
      </c>
      <c r="H23" s="112">
        <v>1.0</v>
      </c>
      <c r="I23" s="112">
        <v>0.0</v>
      </c>
      <c r="J23" s="112">
        <v>0.0</v>
      </c>
      <c r="K23" s="112">
        <v>0.0</v>
      </c>
      <c r="L23" s="112">
        <v>0.0</v>
      </c>
      <c r="M23" s="112">
        <v>0.0</v>
      </c>
      <c r="N23" s="112">
        <v>0.0</v>
      </c>
      <c r="O23" s="112">
        <v>0.667</v>
      </c>
      <c r="P23" s="112">
        <v>1.333</v>
      </c>
      <c r="Q23" s="112">
        <v>0.0</v>
      </c>
      <c r="AD23" s="119"/>
    </row>
    <row r="24">
      <c r="A24" s="106" t="s">
        <v>113</v>
      </c>
      <c r="B24" s="107">
        <v>1.0</v>
      </c>
      <c r="C24" s="107">
        <v>1.0</v>
      </c>
      <c r="D24" s="107">
        <v>1.0</v>
      </c>
      <c r="E24" s="107">
        <v>0.0</v>
      </c>
      <c r="F24" s="107">
        <v>1.0</v>
      </c>
      <c r="G24" s="107">
        <v>0.0</v>
      </c>
      <c r="H24" s="107">
        <v>0.0</v>
      </c>
      <c r="I24" s="107">
        <v>0.0</v>
      </c>
      <c r="J24" s="107">
        <v>0.0</v>
      </c>
      <c r="K24" s="107">
        <v>0.0</v>
      </c>
      <c r="L24" s="107">
        <v>0.0</v>
      </c>
      <c r="M24" s="107">
        <v>0.0</v>
      </c>
      <c r="N24" s="107">
        <v>0.0</v>
      </c>
      <c r="O24" s="107">
        <v>1.0</v>
      </c>
      <c r="P24" s="107">
        <v>1.0</v>
      </c>
      <c r="Q24" s="107">
        <v>0.0</v>
      </c>
      <c r="AD24" s="119"/>
    </row>
    <row r="25">
      <c r="A25" s="106" t="s">
        <v>114</v>
      </c>
      <c r="B25" s="112">
        <v>3.0</v>
      </c>
      <c r="C25" s="112">
        <v>1.0</v>
      </c>
      <c r="D25" s="112">
        <v>0.0</v>
      </c>
      <c r="E25" s="112">
        <v>1.0</v>
      </c>
      <c r="F25" s="112">
        <v>0.0</v>
      </c>
      <c r="G25" s="112">
        <v>0.0</v>
      </c>
      <c r="H25" s="112">
        <v>0.0</v>
      </c>
      <c r="I25" s="112">
        <v>0.0</v>
      </c>
      <c r="J25" s="112">
        <v>0.0</v>
      </c>
      <c r="K25" s="112">
        <v>0.0</v>
      </c>
      <c r="L25" s="112">
        <v>0.0</v>
      </c>
      <c r="M25" s="112">
        <v>0.0</v>
      </c>
      <c r="N25" s="112">
        <v>0.0</v>
      </c>
      <c r="O25" s="112">
        <v>0.0</v>
      </c>
      <c r="P25" s="112">
        <v>0.0</v>
      </c>
      <c r="Q25" s="112">
        <v>0.0</v>
      </c>
      <c r="AD25" s="119"/>
    </row>
    <row r="26">
      <c r="A26" s="117" t="s">
        <v>99</v>
      </c>
      <c r="B26" s="107">
        <v>22.0</v>
      </c>
      <c r="C26" s="107">
        <v>10.0</v>
      </c>
      <c r="D26" s="107">
        <v>10.0</v>
      </c>
      <c r="E26" s="107">
        <v>10.0</v>
      </c>
      <c r="F26" s="107">
        <v>0.455</v>
      </c>
      <c r="G26" s="107">
        <v>4.0</v>
      </c>
      <c r="H26" s="107">
        <v>2.0</v>
      </c>
      <c r="I26" s="107">
        <v>0.0</v>
      </c>
      <c r="J26" s="107">
        <v>7.0</v>
      </c>
      <c r="K26" s="107">
        <v>3.0</v>
      </c>
      <c r="L26" s="107">
        <v>1.0</v>
      </c>
      <c r="M26" s="107">
        <v>0.0</v>
      </c>
      <c r="N26" s="107">
        <v>0.0</v>
      </c>
      <c r="O26" s="107">
        <v>0.567</v>
      </c>
      <c r="P26" s="107">
        <v>0.818</v>
      </c>
      <c r="Q26" s="107">
        <v>4.0</v>
      </c>
      <c r="AD26" s="119"/>
    </row>
    <row r="27">
      <c r="A27" s="118"/>
      <c r="AD27" s="119"/>
    </row>
    <row r="28">
      <c r="A28" s="98" t="s">
        <v>84</v>
      </c>
      <c r="Q28" s="99"/>
      <c r="AD28" s="119"/>
    </row>
    <row r="29">
      <c r="A29" s="101" t="s">
        <v>87</v>
      </c>
      <c r="B29" s="102" t="s">
        <v>3</v>
      </c>
      <c r="C29" s="102" t="s">
        <v>63</v>
      </c>
      <c r="D29" s="102" t="s">
        <v>62</v>
      </c>
      <c r="E29" s="102" t="s">
        <v>6</v>
      </c>
      <c r="F29" s="102" t="s">
        <v>18</v>
      </c>
      <c r="G29" s="102" t="s">
        <v>8</v>
      </c>
      <c r="H29" s="102" t="s">
        <v>9</v>
      </c>
      <c r="I29" s="102" t="s">
        <v>10</v>
      </c>
      <c r="J29" s="102" t="s">
        <v>12</v>
      </c>
      <c r="K29" s="102" t="s">
        <v>88</v>
      </c>
      <c r="L29" s="102" t="s">
        <v>15</v>
      </c>
      <c r="M29" s="102" t="s">
        <v>16</v>
      </c>
      <c r="N29" s="102" t="s">
        <v>14</v>
      </c>
      <c r="O29" s="102" t="s">
        <v>19</v>
      </c>
      <c r="P29" s="102" t="s">
        <v>20</v>
      </c>
      <c r="Q29" s="102" t="s">
        <v>11</v>
      </c>
      <c r="R29" s="101" t="s">
        <v>89</v>
      </c>
      <c r="S29" s="102" t="s">
        <v>61</v>
      </c>
      <c r="T29" s="102" t="s">
        <v>62</v>
      </c>
      <c r="U29" s="102" t="s">
        <v>63</v>
      </c>
      <c r="V29" s="102" t="s">
        <v>64</v>
      </c>
      <c r="W29" s="102" t="s">
        <v>12</v>
      </c>
      <c r="X29" s="102" t="s">
        <v>88</v>
      </c>
      <c r="Y29" s="102" t="s">
        <v>10</v>
      </c>
      <c r="Z29" s="102" t="s">
        <v>70</v>
      </c>
      <c r="AA29" s="103"/>
      <c r="AB29" s="104">
        <v>1.0</v>
      </c>
      <c r="AC29" s="104">
        <v>0.0</v>
      </c>
      <c r="AD29" s="105"/>
      <c r="AE29" s="105"/>
    </row>
    <row r="30">
      <c r="A30" s="106" t="s">
        <v>115</v>
      </c>
      <c r="B30" s="107">
        <v>3.0</v>
      </c>
      <c r="C30" s="107">
        <v>1.0</v>
      </c>
      <c r="D30" s="107">
        <v>0.0</v>
      </c>
      <c r="E30" s="107">
        <v>0.0</v>
      </c>
      <c r="F30" s="107">
        <v>0.0</v>
      </c>
      <c r="G30" s="107">
        <v>0.0</v>
      </c>
      <c r="H30" s="107">
        <v>0.0</v>
      </c>
      <c r="I30" s="107">
        <v>0.0</v>
      </c>
      <c r="J30" s="107">
        <v>0.0</v>
      </c>
      <c r="K30" s="107">
        <v>1.0</v>
      </c>
      <c r="L30" s="107">
        <v>0.0</v>
      </c>
      <c r="M30" s="107">
        <v>0.0</v>
      </c>
      <c r="N30" s="107">
        <v>1.0</v>
      </c>
      <c r="O30" s="107">
        <v>0.25</v>
      </c>
      <c r="P30" s="107">
        <v>0.0</v>
      </c>
      <c r="Q30" s="107">
        <v>0.0</v>
      </c>
      <c r="R30" s="106" t="s">
        <v>116</v>
      </c>
      <c r="S30" s="107">
        <v>4.0</v>
      </c>
      <c r="T30" s="107">
        <v>3.0</v>
      </c>
      <c r="U30" s="107">
        <v>3.0</v>
      </c>
      <c r="V30" s="107">
        <v>3.0</v>
      </c>
      <c r="W30" s="107">
        <v>2.0</v>
      </c>
      <c r="X30" s="107">
        <v>7.0</v>
      </c>
      <c r="Y30" s="107">
        <v>0.0</v>
      </c>
      <c r="Z30" s="107">
        <v>5.25</v>
      </c>
      <c r="AA30" s="109"/>
      <c r="AB30" s="110">
        <v>2.0</v>
      </c>
      <c r="AC30" s="110">
        <v>1.0</v>
      </c>
      <c r="AD30" s="110" t="s">
        <v>44</v>
      </c>
      <c r="AE30" s="111"/>
    </row>
    <row r="31">
      <c r="A31" s="106" t="s">
        <v>117</v>
      </c>
      <c r="B31" s="112">
        <v>4.0</v>
      </c>
      <c r="C31" s="112">
        <v>2.0</v>
      </c>
      <c r="D31" s="112">
        <v>1.0</v>
      </c>
      <c r="E31" s="112">
        <v>3.0</v>
      </c>
      <c r="F31" s="112">
        <v>0.25</v>
      </c>
      <c r="G31" s="112">
        <v>0.0</v>
      </c>
      <c r="H31" s="112">
        <v>0.0</v>
      </c>
      <c r="I31" s="112">
        <v>1.0</v>
      </c>
      <c r="J31" s="112">
        <v>0.0</v>
      </c>
      <c r="K31" s="112">
        <v>1.0</v>
      </c>
      <c r="L31" s="112">
        <v>0.0</v>
      </c>
      <c r="M31" s="112">
        <v>0.0</v>
      </c>
      <c r="N31" s="112">
        <v>0.0</v>
      </c>
      <c r="O31" s="112">
        <v>0.25</v>
      </c>
      <c r="P31" s="112">
        <v>1.0</v>
      </c>
      <c r="Q31" s="112">
        <v>0.0</v>
      </c>
      <c r="R31" s="106" t="s">
        <v>118</v>
      </c>
      <c r="S31" s="112">
        <v>1.0</v>
      </c>
      <c r="T31" s="112">
        <v>0.0</v>
      </c>
      <c r="U31" s="112">
        <v>0.0</v>
      </c>
      <c r="V31" s="112">
        <v>0.0</v>
      </c>
      <c r="W31" s="112">
        <v>1.0</v>
      </c>
      <c r="X31" s="112">
        <v>0.0</v>
      </c>
      <c r="Y31" s="112">
        <v>0.0</v>
      </c>
      <c r="Z31" s="112">
        <v>0.0</v>
      </c>
      <c r="AA31" s="114"/>
      <c r="AB31" s="115">
        <v>3.0</v>
      </c>
      <c r="AC31" s="115">
        <v>2.0</v>
      </c>
      <c r="AD31" s="115" t="s">
        <v>38</v>
      </c>
      <c r="AE31" s="116"/>
    </row>
    <row r="32">
      <c r="A32" s="106" t="s">
        <v>119</v>
      </c>
      <c r="B32" s="107">
        <v>3.0</v>
      </c>
      <c r="C32" s="107">
        <v>1.0</v>
      </c>
      <c r="D32" s="107">
        <v>1.0</v>
      </c>
      <c r="E32" s="107">
        <v>0.0</v>
      </c>
      <c r="F32" s="107">
        <v>0.333</v>
      </c>
      <c r="G32" s="107">
        <v>0.0</v>
      </c>
      <c r="H32" s="107">
        <v>0.0</v>
      </c>
      <c r="I32" s="107">
        <v>0.0</v>
      </c>
      <c r="J32" s="107">
        <v>1.0</v>
      </c>
      <c r="K32" s="107">
        <v>0.0</v>
      </c>
      <c r="L32" s="107">
        <v>0.0</v>
      </c>
      <c r="M32" s="107">
        <v>0.0</v>
      </c>
      <c r="N32" s="107">
        <v>0.0</v>
      </c>
      <c r="O32" s="107">
        <v>0.5</v>
      </c>
      <c r="P32" s="107">
        <v>0.333</v>
      </c>
      <c r="Q32" s="107">
        <v>0.0</v>
      </c>
      <c r="R32" s="117" t="s">
        <v>99</v>
      </c>
      <c r="S32" s="107">
        <v>5.0</v>
      </c>
      <c r="T32" s="107">
        <v>3.0</v>
      </c>
      <c r="U32" s="107">
        <v>3.0</v>
      </c>
      <c r="V32" s="107">
        <v>3.0</v>
      </c>
      <c r="W32" s="107">
        <v>3.0</v>
      </c>
      <c r="X32" s="107">
        <v>7.0</v>
      </c>
      <c r="Y32" s="107">
        <v>0.0</v>
      </c>
      <c r="Z32" s="107">
        <v>4.2</v>
      </c>
      <c r="AA32" s="109"/>
      <c r="AB32" s="110">
        <v>4.0</v>
      </c>
      <c r="AC32" s="110">
        <v>2.0</v>
      </c>
      <c r="AD32" s="110" t="s">
        <v>41</v>
      </c>
      <c r="AE32" s="111"/>
    </row>
    <row r="33">
      <c r="A33" s="106" t="s">
        <v>120</v>
      </c>
      <c r="B33" s="112">
        <v>4.0</v>
      </c>
      <c r="C33" s="112">
        <v>2.0</v>
      </c>
      <c r="D33" s="112">
        <v>3.0</v>
      </c>
      <c r="E33" s="112">
        <v>2.0</v>
      </c>
      <c r="F33" s="112">
        <v>0.75</v>
      </c>
      <c r="G33" s="112">
        <v>1.0</v>
      </c>
      <c r="H33" s="112">
        <v>0.0</v>
      </c>
      <c r="I33" s="112">
        <v>0.0</v>
      </c>
      <c r="J33" s="112">
        <v>0.0</v>
      </c>
      <c r="K33" s="112">
        <v>1.0</v>
      </c>
      <c r="L33" s="112">
        <v>0.0</v>
      </c>
      <c r="M33" s="112">
        <v>0.0</v>
      </c>
      <c r="N33" s="112">
        <v>0.0</v>
      </c>
      <c r="O33" s="112">
        <v>0.75</v>
      </c>
      <c r="P33" s="112">
        <v>1.0</v>
      </c>
      <c r="Q33" s="112">
        <v>1.0</v>
      </c>
      <c r="R33" s="118"/>
      <c r="AB33" s="115">
        <v>5.0</v>
      </c>
      <c r="AC33" s="100">
        <v>1.0</v>
      </c>
      <c r="AD33" s="100" t="s">
        <v>42</v>
      </c>
    </row>
    <row r="34">
      <c r="A34" s="106" t="s">
        <v>121</v>
      </c>
      <c r="B34" s="107">
        <v>2.0</v>
      </c>
      <c r="C34" s="107">
        <v>3.0</v>
      </c>
      <c r="D34" s="107">
        <v>1.0</v>
      </c>
      <c r="E34" s="107">
        <v>0.0</v>
      </c>
      <c r="F34" s="107">
        <v>0.5</v>
      </c>
      <c r="G34" s="107">
        <v>0.0</v>
      </c>
      <c r="H34" s="107">
        <v>0.0</v>
      </c>
      <c r="I34" s="107">
        <v>0.0</v>
      </c>
      <c r="J34" s="107">
        <v>2.0</v>
      </c>
      <c r="K34" s="107">
        <v>0.0</v>
      </c>
      <c r="L34" s="107">
        <v>0.0</v>
      </c>
      <c r="M34" s="107">
        <v>0.0</v>
      </c>
      <c r="N34" s="107">
        <v>0.0</v>
      </c>
      <c r="O34" s="107">
        <v>0.75</v>
      </c>
      <c r="P34" s="107">
        <v>0.5</v>
      </c>
      <c r="Q34" s="107">
        <v>0.0</v>
      </c>
      <c r="AB34" s="110">
        <v>6.0</v>
      </c>
      <c r="AD34" s="119"/>
    </row>
    <row r="35">
      <c r="A35" s="106" t="s">
        <v>122</v>
      </c>
      <c r="B35" s="112">
        <v>4.0</v>
      </c>
      <c r="C35" s="112">
        <v>1.0</v>
      </c>
      <c r="D35" s="112">
        <v>2.0</v>
      </c>
      <c r="E35" s="112">
        <v>2.0</v>
      </c>
      <c r="F35" s="112">
        <v>0.5</v>
      </c>
      <c r="G35" s="112">
        <v>1.0</v>
      </c>
      <c r="H35" s="112">
        <v>0.0</v>
      </c>
      <c r="I35" s="112">
        <v>0.0</v>
      </c>
      <c r="J35" s="112">
        <v>0.0</v>
      </c>
      <c r="K35" s="112">
        <v>0.0</v>
      </c>
      <c r="L35" s="112">
        <v>0.0</v>
      </c>
      <c r="M35" s="112">
        <v>0.0</v>
      </c>
      <c r="N35" s="112">
        <v>0.0</v>
      </c>
      <c r="O35" s="112">
        <v>0.5</v>
      </c>
      <c r="P35" s="112">
        <v>0.75</v>
      </c>
      <c r="Q35" s="112">
        <v>0.0</v>
      </c>
      <c r="AB35" s="100">
        <v>7.0</v>
      </c>
      <c r="AD35" s="119"/>
    </row>
    <row r="36">
      <c r="A36" s="106" t="s">
        <v>123</v>
      </c>
      <c r="B36" s="107">
        <v>4.0</v>
      </c>
      <c r="C36" s="107">
        <v>1.0</v>
      </c>
      <c r="D36" s="107">
        <v>2.0</v>
      </c>
      <c r="E36" s="107">
        <v>1.0</v>
      </c>
      <c r="F36" s="107">
        <v>0.5</v>
      </c>
      <c r="G36" s="107">
        <v>0.0</v>
      </c>
      <c r="H36" s="107">
        <v>0.0</v>
      </c>
      <c r="I36" s="107">
        <v>0.0</v>
      </c>
      <c r="J36" s="107">
        <v>0.0</v>
      </c>
      <c r="K36" s="107">
        <v>1.0</v>
      </c>
      <c r="L36" s="107">
        <v>0.0</v>
      </c>
      <c r="M36" s="107">
        <v>0.0</v>
      </c>
      <c r="N36" s="107">
        <v>0.0</v>
      </c>
      <c r="O36" s="107">
        <v>0.5</v>
      </c>
      <c r="P36" s="107">
        <v>0.5</v>
      </c>
      <c r="Q36" s="107">
        <v>2.0</v>
      </c>
      <c r="AD36" s="119"/>
    </row>
    <row r="37">
      <c r="A37" s="106" t="s">
        <v>124</v>
      </c>
      <c r="B37" s="112">
        <v>4.0</v>
      </c>
      <c r="C37" s="112">
        <v>2.0</v>
      </c>
      <c r="D37" s="112">
        <v>2.0</v>
      </c>
      <c r="E37" s="112">
        <v>4.0</v>
      </c>
      <c r="F37" s="112">
        <v>0.5</v>
      </c>
      <c r="G37" s="112">
        <v>0.0</v>
      </c>
      <c r="H37" s="112">
        <v>0.0</v>
      </c>
      <c r="I37" s="112">
        <v>1.0</v>
      </c>
      <c r="J37" s="112">
        <v>0.0</v>
      </c>
      <c r="K37" s="112">
        <v>1.0</v>
      </c>
      <c r="L37" s="112">
        <v>0.0</v>
      </c>
      <c r="M37" s="112">
        <v>0.0</v>
      </c>
      <c r="N37" s="112">
        <v>0.0</v>
      </c>
      <c r="O37" s="112">
        <v>0.5</v>
      </c>
      <c r="P37" s="112">
        <v>1.25</v>
      </c>
      <c r="Q37" s="112">
        <v>1.0</v>
      </c>
      <c r="AD37" s="119"/>
    </row>
    <row r="38">
      <c r="A38" s="106" t="s">
        <v>125</v>
      </c>
      <c r="B38" s="107">
        <v>3.0</v>
      </c>
      <c r="C38" s="107">
        <v>2.0</v>
      </c>
      <c r="D38" s="107">
        <v>2.0</v>
      </c>
      <c r="E38" s="107">
        <v>1.0</v>
      </c>
      <c r="F38" s="107">
        <v>0.667</v>
      </c>
      <c r="G38" s="107">
        <v>0.0</v>
      </c>
      <c r="H38" s="107">
        <v>0.0</v>
      </c>
      <c r="I38" s="107">
        <v>0.0</v>
      </c>
      <c r="J38" s="107">
        <v>1.0</v>
      </c>
      <c r="K38" s="107">
        <v>0.0</v>
      </c>
      <c r="L38" s="107">
        <v>0.0</v>
      </c>
      <c r="M38" s="107">
        <v>0.0</v>
      </c>
      <c r="N38" s="107">
        <v>0.0</v>
      </c>
      <c r="O38" s="107">
        <v>0.75</v>
      </c>
      <c r="P38" s="107">
        <v>0.667</v>
      </c>
      <c r="Q38" s="107">
        <v>1.0</v>
      </c>
      <c r="AD38" s="119"/>
    </row>
    <row r="39">
      <c r="A39" s="120" t="s">
        <v>99</v>
      </c>
      <c r="B39" s="112">
        <v>31.0</v>
      </c>
      <c r="C39" s="112">
        <v>15.0</v>
      </c>
      <c r="D39" s="112">
        <v>14.0</v>
      </c>
      <c r="E39" s="112">
        <v>13.0</v>
      </c>
      <c r="F39" s="112">
        <v>0.452</v>
      </c>
      <c r="G39" s="112">
        <v>2.0</v>
      </c>
      <c r="H39" s="112">
        <v>0.0</v>
      </c>
      <c r="I39" s="112">
        <v>2.0</v>
      </c>
      <c r="J39" s="112">
        <v>4.0</v>
      </c>
      <c r="K39" s="112">
        <v>5.0</v>
      </c>
      <c r="L39" s="112">
        <v>0.0</v>
      </c>
      <c r="M39" s="112">
        <v>0.0</v>
      </c>
      <c r="N39" s="112">
        <v>1.0</v>
      </c>
      <c r="O39" s="112">
        <v>0.528</v>
      </c>
      <c r="P39" s="112">
        <v>0.71</v>
      </c>
      <c r="Q39" s="112">
        <v>5.0</v>
      </c>
      <c r="AD39" s="119"/>
    </row>
    <row r="40">
      <c r="AD40" s="119"/>
    </row>
    <row r="41">
      <c r="A41" s="98" t="s">
        <v>84</v>
      </c>
      <c r="Q41" s="99"/>
      <c r="AD41" s="119"/>
    </row>
    <row r="42">
      <c r="A42" s="101" t="s">
        <v>87</v>
      </c>
      <c r="B42" s="102" t="s">
        <v>3</v>
      </c>
      <c r="C42" s="102" t="s">
        <v>63</v>
      </c>
      <c r="D42" s="102" t="s">
        <v>62</v>
      </c>
      <c r="E42" s="102" t="s">
        <v>6</v>
      </c>
      <c r="F42" s="102" t="s">
        <v>18</v>
      </c>
      <c r="G42" s="102" t="s">
        <v>8</v>
      </c>
      <c r="H42" s="102" t="s">
        <v>9</v>
      </c>
      <c r="I42" s="102" t="s">
        <v>10</v>
      </c>
      <c r="J42" s="102" t="s">
        <v>12</v>
      </c>
      <c r="K42" s="102" t="s">
        <v>88</v>
      </c>
      <c r="L42" s="102" t="s">
        <v>15</v>
      </c>
      <c r="M42" s="102" t="s">
        <v>16</v>
      </c>
      <c r="N42" s="102" t="s">
        <v>14</v>
      </c>
      <c r="O42" s="102" t="s">
        <v>19</v>
      </c>
      <c r="P42" s="102" t="s">
        <v>20</v>
      </c>
      <c r="Q42" s="102" t="s">
        <v>11</v>
      </c>
      <c r="R42" s="101" t="s">
        <v>89</v>
      </c>
      <c r="S42" s="102" t="s">
        <v>61</v>
      </c>
      <c r="T42" s="102" t="s">
        <v>62</v>
      </c>
      <c r="U42" s="102" t="s">
        <v>63</v>
      </c>
      <c r="V42" s="102" t="s">
        <v>64</v>
      </c>
      <c r="W42" s="102" t="s">
        <v>12</v>
      </c>
      <c r="X42" s="102" t="s">
        <v>88</v>
      </c>
      <c r="Y42" s="102" t="s">
        <v>10</v>
      </c>
      <c r="Z42" s="102" t="s">
        <v>70</v>
      </c>
      <c r="AA42" s="103"/>
      <c r="AB42" s="104">
        <v>1.0</v>
      </c>
      <c r="AC42" s="121">
        <v>0.0</v>
      </c>
      <c r="AD42" s="100" t="s">
        <v>50</v>
      </c>
    </row>
    <row r="43">
      <c r="A43" s="106" t="s">
        <v>126</v>
      </c>
      <c r="B43" s="107">
        <v>4.0</v>
      </c>
      <c r="C43" s="107">
        <v>1.0</v>
      </c>
      <c r="D43" s="107">
        <v>1.0</v>
      </c>
      <c r="E43" s="107">
        <v>3.0</v>
      </c>
      <c r="F43" s="107">
        <v>0.25</v>
      </c>
      <c r="G43" s="107">
        <v>0.0</v>
      </c>
      <c r="H43" s="107">
        <v>0.0</v>
      </c>
      <c r="I43" s="107">
        <v>0.0</v>
      </c>
      <c r="J43" s="107">
        <v>1.0</v>
      </c>
      <c r="K43" s="107">
        <v>1.0</v>
      </c>
      <c r="L43" s="107">
        <v>0.0</v>
      </c>
      <c r="M43" s="107">
        <v>0.0</v>
      </c>
      <c r="N43" s="107">
        <v>0.0</v>
      </c>
      <c r="O43" s="107">
        <v>0.4</v>
      </c>
      <c r="P43" s="107">
        <v>0.25</v>
      </c>
      <c r="Q43" s="107">
        <v>1.0</v>
      </c>
      <c r="R43" s="106" t="s">
        <v>127</v>
      </c>
      <c r="S43" s="107">
        <v>5.0</v>
      </c>
      <c r="T43" s="107">
        <v>2.0</v>
      </c>
      <c r="U43" s="107">
        <v>4.0</v>
      </c>
      <c r="V43" s="107">
        <v>0.0</v>
      </c>
      <c r="W43" s="107">
        <v>3.0</v>
      </c>
      <c r="X43" s="107">
        <v>3.0</v>
      </c>
      <c r="Y43" s="107">
        <v>0.0</v>
      </c>
      <c r="Z43" s="107">
        <v>0.0</v>
      </c>
      <c r="AA43" s="109"/>
      <c r="AB43" s="110">
        <v>2.0</v>
      </c>
      <c r="AC43" s="121">
        <v>3.0</v>
      </c>
      <c r="AD43" s="100" t="s">
        <v>49</v>
      </c>
    </row>
    <row r="44">
      <c r="A44" s="106" t="s">
        <v>128</v>
      </c>
      <c r="B44" s="112">
        <v>1.0</v>
      </c>
      <c r="C44" s="112">
        <v>2.0</v>
      </c>
      <c r="D44" s="112">
        <v>0.0</v>
      </c>
      <c r="E44" s="112">
        <v>0.0</v>
      </c>
      <c r="F44" s="112">
        <v>0.0</v>
      </c>
      <c r="G44" s="112">
        <v>0.0</v>
      </c>
      <c r="H44" s="112">
        <v>0.0</v>
      </c>
      <c r="I44" s="112">
        <v>0.0</v>
      </c>
      <c r="J44" s="112">
        <v>3.0</v>
      </c>
      <c r="K44" s="112">
        <v>0.0</v>
      </c>
      <c r="L44" s="112">
        <v>0.0</v>
      </c>
      <c r="M44" s="112">
        <v>0.0</v>
      </c>
      <c r="N44" s="112">
        <v>0.0</v>
      </c>
      <c r="O44" s="112">
        <v>0.75</v>
      </c>
      <c r="P44" s="112">
        <v>0.0</v>
      </c>
      <c r="Q44" s="112">
        <v>1.0</v>
      </c>
      <c r="R44" s="106" t="s">
        <v>129</v>
      </c>
      <c r="S44" s="112">
        <v>1.0</v>
      </c>
      <c r="T44" s="112">
        <v>0.0</v>
      </c>
      <c r="U44" s="112">
        <v>0.0</v>
      </c>
      <c r="V44" s="112">
        <v>0.0</v>
      </c>
      <c r="W44" s="112">
        <v>0.0</v>
      </c>
      <c r="X44" s="112">
        <v>1.0</v>
      </c>
      <c r="Y44" s="112">
        <v>0.0</v>
      </c>
      <c r="Z44" s="112">
        <v>0.0</v>
      </c>
      <c r="AA44" s="114"/>
      <c r="AB44" s="115">
        <v>3.0</v>
      </c>
      <c r="AC44" s="121">
        <v>1.0</v>
      </c>
      <c r="AD44" s="100" t="s">
        <v>49</v>
      </c>
    </row>
    <row r="45">
      <c r="A45" s="106" t="s">
        <v>130</v>
      </c>
      <c r="B45" s="107">
        <v>2.0</v>
      </c>
      <c r="C45" s="107">
        <v>1.0</v>
      </c>
      <c r="D45" s="107">
        <v>0.0</v>
      </c>
      <c r="E45" s="107">
        <v>0.0</v>
      </c>
      <c r="F45" s="107">
        <v>0.0</v>
      </c>
      <c r="G45" s="107">
        <v>0.0</v>
      </c>
      <c r="H45" s="107">
        <v>0.0</v>
      </c>
      <c r="I45" s="107">
        <v>0.0</v>
      </c>
      <c r="J45" s="107">
        <v>2.0</v>
      </c>
      <c r="K45" s="107">
        <v>1.0</v>
      </c>
      <c r="L45" s="107">
        <v>0.0</v>
      </c>
      <c r="M45" s="107">
        <v>0.0</v>
      </c>
      <c r="N45" s="107">
        <v>0.0</v>
      </c>
      <c r="O45" s="107">
        <v>0.5</v>
      </c>
      <c r="P45" s="107">
        <v>0.0</v>
      </c>
      <c r="Q45" s="107">
        <v>1.0</v>
      </c>
      <c r="R45" s="106" t="s">
        <v>131</v>
      </c>
      <c r="S45" s="107">
        <v>1.0</v>
      </c>
      <c r="T45" s="107">
        <v>0.0</v>
      </c>
      <c r="U45" s="107">
        <v>1.0</v>
      </c>
      <c r="V45" s="107">
        <v>1.0</v>
      </c>
      <c r="W45" s="107">
        <v>3.0</v>
      </c>
      <c r="X45" s="107">
        <v>3.0</v>
      </c>
      <c r="Y45" s="107">
        <v>0.0</v>
      </c>
      <c r="Z45" s="107">
        <v>7.0</v>
      </c>
      <c r="AA45" s="109"/>
      <c r="AB45" s="110">
        <v>4.0</v>
      </c>
      <c r="AC45" s="122">
        <v>0.0</v>
      </c>
      <c r="AD45" s="119"/>
    </row>
    <row r="46">
      <c r="A46" s="106" t="s">
        <v>132</v>
      </c>
      <c r="B46" s="112">
        <v>2.0</v>
      </c>
      <c r="C46" s="112">
        <v>3.0</v>
      </c>
      <c r="D46" s="112">
        <v>1.0</v>
      </c>
      <c r="E46" s="112">
        <v>2.0</v>
      </c>
      <c r="F46" s="112">
        <v>0.5</v>
      </c>
      <c r="G46" s="112">
        <v>0.0</v>
      </c>
      <c r="H46" s="112">
        <v>0.0</v>
      </c>
      <c r="I46" s="112">
        <v>0.0</v>
      </c>
      <c r="J46" s="112">
        <v>1.0</v>
      </c>
      <c r="K46" s="112">
        <v>1.0</v>
      </c>
      <c r="L46" s="112">
        <v>0.0</v>
      </c>
      <c r="M46" s="112">
        <v>0.0</v>
      </c>
      <c r="N46" s="112">
        <v>1.0</v>
      </c>
      <c r="O46" s="112">
        <v>0.75</v>
      </c>
      <c r="P46" s="112">
        <v>0.5</v>
      </c>
      <c r="Q46" s="112">
        <v>1.0</v>
      </c>
      <c r="R46" s="120" t="s">
        <v>99</v>
      </c>
      <c r="S46" s="112">
        <v>7.0</v>
      </c>
      <c r="T46" s="112">
        <v>2.0</v>
      </c>
      <c r="U46" s="112">
        <v>5.0</v>
      </c>
      <c r="V46" s="112">
        <v>1.0</v>
      </c>
      <c r="W46" s="112">
        <v>6.0</v>
      </c>
      <c r="X46" s="112">
        <v>7.0</v>
      </c>
      <c r="Y46" s="112">
        <v>0.0</v>
      </c>
      <c r="Z46" s="112">
        <v>1.0</v>
      </c>
      <c r="AA46" s="114"/>
      <c r="AB46" s="115">
        <v>5.0</v>
      </c>
      <c r="AC46" s="121">
        <v>3.0</v>
      </c>
      <c r="AD46" s="100" t="s">
        <v>39</v>
      </c>
    </row>
    <row r="47">
      <c r="A47" s="106" t="s">
        <v>133</v>
      </c>
      <c r="B47" s="107">
        <v>0.0</v>
      </c>
      <c r="C47" s="107">
        <v>0.0</v>
      </c>
      <c r="D47" s="107">
        <v>0.0</v>
      </c>
      <c r="E47" s="107">
        <v>0.0</v>
      </c>
      <c r="F47" s="107">
        <v>0.0</v>
      </c>
      <c r="G47" s="107">
        <v>0.0</v>
      </c>
      <c r="H47" s="107">
        <v>0.0</v>
      </c>
      <c r="I47" s="107">
        <v>0.0</v>
      </c>
      <c r="J47" s="107">
        <v>0.0</v>
      </c>
      <c r="K47" s="107">
        <v>0.0</v>
      </c>
      <c r="L47" s="107">
        <v>0.0</v>
      </c>
      <c r="M47" s="107">
        <v>0.0</v>
      </c>
      <c r="N47" s="107">
        <v>0.0</v>
      </c>
      <c r="O47" s="107">
        <v>0.0</v>
      </c>
      <c r="P47" s="107">
        <v>0.0</v>
      </c>
      <c r="Q47" s="107">
        <v>1.0</v>
      </c>
      <c r="R47" s="118"/>
      <c r="AB47" s="110">
        <v>6.0</v>
      </c>
      <c r="AC47" s="121">
        <v>2.0</v>
      </c>
      <c r="AD47" s="100" t="s">
        <v>38</v>
      </c>
    </row>
    <row r="48">
      <c r="A48" s="106" t="s">
        <v>134</v>
      </c>
      <c r="B48" s="112">
        <v>4.0</v>
      </c>
      <c r="C48" s="112">
        <v>0.0</v>
      </c>
      <c r="D48" s="112">
        <v>1.0</v>
      </c>
      <c r="E48" s="112">
        <v>1.0</v>
      </c>
      <c r="F48" s="112">
        <v>0.25</v>
      </c>
      <c r="G48" s="112">
        <v>0.0</v>
      </c>
      <c r="H48" s="112">
        <v>0.0</v>
      </c>
      <c r="I48" s="112">
        <v>0.0</v>
      </c>
      <c r="J48" s="112">
        <v>0.0</v>
      </c>
      <c r="K48" s="112">
        <v>0.0</v>
      </c>
      <c r="L48" s="112">
        <v>0.0</v>
      </c>
      <c r="M48" s="112">
        <v>0.0</v>
      </c>
      <c r="N48" s="112">
        <v>0.0</v>
      </c>
      <c r="O48" s="112">
        <v>0.25</v>
      </c>
      <c r="P48" s="112">
        <v>0.25</v>
      </c>
      <c r="Q48" s="112">
        <v>0.0</v>
      </c>
      <c r="AB48" s="100">
        <v>7.0</v>
      </c>
      <c r="AD48" s="119"/>
    </row>
    <row r="49">
      <c r="A49" s="106" t="s">
        <v>135</v>
      </c>
      <c r="B49" s="107">
        <v>3.0</v>
      </c>
      <c r="C49" s="107">
        <v>1.0</v>
      </c>
      <c r="D49" s="107">
        <v>1.0</v>
      </c>
      <c r="E49" s="107">
        <v>1.0</v>
      </c>
      <c r="F49" s="107">
        <v>0.333</v>
      </c>
      <c r="G49" s="107">
        <v>0.0</v>
      </c>
      <c r="H49" s="107">
        <v>0.0</v>
      </c>
      <c r="I49" s="107">
        <v>0.0</v>
      </c>
      <c r="J49" s="107">
        <v>0.0</v>
      </c>
      <c r="K49" s="107">
        <v>0.0</v>
      </c>
      <c r="L49" s="107">
        <v>0.0</v>
      </c>
      <c r="M49" s="107">
        <v>0.0</v>
      </c>
      <c r="N49" s="107">
        <v>1.0</v>
      </c>
      <c r="O49" s="107">
        <v>0.5</v>
      </c>
      <c r="P49" s="107">
        <v>0.333</v>
      </c>
      <c r="Q49" s="107">
        <v>0.0</v>
      </c>
      <c r="AD49" s="119"/>
    </row>
    <row r="50">
      <c r="A50" s="106" t="s">
        <v>136</v>
      </c>
      <c r="B50" s="112">
        <v>2.0</v>
      </c>
      <c r="C50" s="112">
        <v>1.0</v>
      </c>
      <c r="D50" s="112">
        <v>0.0</v>
      </c>
      <c r="E50" s="112">
        <v>0.0</v>
      </c>
      <c r="F50" s="112">
        <v>0.0</v>
      </c>
      <c r="G50" s="112">
        <v>0.0</v>
      </c>
      <c r="H50" s="112">
        <v>0.0</v>
      </c>
      <c r="I50" s="112">
        <v>0.0</v>
      </c>
      <c r="J50" s="112">
        <v>2.0</v>
      </c>
      <c r="K50" s="112">
        <v>0.0</v>
      </c>
      <c r="L50" s="112">
        <v>0.0</v>
      </c>
      <c r="M50" s="112">
        <v>0.0</v>
      </c>
      <c r="N50" s="112">
        <v>0.0</v>
      </c>
      <c r="O50" s="112">
        <v>0.5</v>
      </c>
      <c r="P50" s="112">
        <v>0.0</v>
      </c>
      <c r="Q50" s="112">
        <v>1.0</v>
      </c>
      <c r="AD50" s="119"/>
    </row>
    <row r="51">
      <c r="A51" s="106" t="s">
        <v>137</v>
      </c>
      <c r="B51" s="107">
        <v>4.0</v>
      </c>
      <c r="C51" s="107">
        <v>1.0</v>
      </c>
      <c r="D51" s="107">
        <v>2.0</v>
      </c>
      <c r="E51" s="107">
        <v>1.0</v>
      </c>
      <c r="F51" s="107">
        <v>0.5</v>
      </c>
      <c r="G51" s="107">
        <v>0.0</v>
      </c>
      <c r="H51" s="107">
        <v>0.0</v>
      </c>
      <c r="I51" s="107">
        <v>0.0</v>
      </c>
      <c r="J51" s="107">
        <v>0.0</v>
      </c>
      <c r="K51" s="107">
        <v>0.0</v>
      </c>
      <c r="L51" s="107">
        <v>0.0</v>
      </c>
      <c r="M51" s="107">
        <v>0.0</v>
      </c>
      <c r="N51" s="107">
        <v>0.0</v>
      </c>
      <c r="O51" s="107">
        <v>0.5</v>
      </c>
      <c r="P51" s="107">
        <v>0.5</v>
      </c>
      <c r="Q51" s="107">
        <v>1.0</v>
      </c>
      <c r="AD51" s="119"/>
    </row>
    <row r="52">
      <c r="A52" s="106" t="s">
        <v>138</v>
      </c>
      <c r="B52" s="112">
        <v>3.0</v>
      </c>
      <c r="C52" s="112">
        <v>0.0</v>
      </c>
      <c r="D52" s="112">
        <v>0.0</v>
      </c>
      <c r="E52" s="112">
        <v>0.0</v>
      </c>
      <c r="F52" s="112">
        <v>0.0</v>
      </c>
      <c r="G52" s="112">
        <v>0.0</v>
      </c>
      <c r="H52" s="112">
        <v>0.0</v>
      </c>
      <c r="I52" s="112">
        <v>0.0</v>
      </c>
      <c r="J52" s="112">
        <v>0.0</v>
      </c>
      <c r="K52" s="112">
        <v>0.0</v>
      </c>
      <c r="L52" s="112">
        <v>0.0</v>
      </c>
      <c r="M52" s="112">
        <v>1.0</v>
      </c>
      <c r="N52" s="112">
        <v>0.0</v>
      </c>
      <c r="O52" s="112">
        <v>0.0</v>
      </c>
      <c r="P52" s="112">
        <v>0.0</v>
      </c>
      <c r="Q52" s="112">
        <v>0.0</v>
      </c>
      <c r="AD52" s="119"/>
    </row>
    <row r="53">
      <c r="A53" s="117" t="s">
        <v>99</v>
      </c>
      <c r="B53" s="107">
        <v>25.0</v>
      </c>
      <c r="C53" s="107">
        <v>10.0</v>
      </c>
      <c r="D53" s="107">
        <v>6.0</v>
      </c>
      <c r="E53" s="107">
        <v>8.0</v>
      </c>
      <c r="F53" s="107">
        <v>0.24</v>
      </c>
      <c r="G53" s="107">
        <v>0.0</v>
      </c>
      <c r="H53" s="107">
        <v>0.0</v>
      </c>
      <c r="I53" s="107">
        <v>0.0</v>
      </c>
      <c r="J53" s="107">
        <v>9.0</v>
      </c>
      <c r="K53" s="107">
        <v>3.0</v>
      </c>
      <c r="L53" s="107">
        <v>0.0</v>
      </c>
      <c r="M53" s="107">
        <v>1.0</v>
      </c>
      <c r="N53" s="107">
        <v>2.0</v>
      </c>
      <c r="O53" s="107">
        <v>0.472</v>
      </c>
      <c r="P53" s="107">
        <v>0.24</v>
      </c>
      <c r="Q53" s="107">
        <v>7.0</v>
      </c>
      <c r="AD53" s="119"/>
    </row>
    <row r="54">
      <c r="A54" s="118"/>
      <c r="AD54" s="119"/>
    </row>
    <row r="55">
      <c r="A55" s="98" t="s">
        <v>84</v>
      </c>
      <c r="Q55" s="99"/>
      <c r="AD55" s="119"/>
    </row>
    <row r="56">
      <c r="A56" s="101" t="s">
        <v>87</v>
      </c>
      <c r="B56" s="102" t="s">
        <v>3</v>
      </c>
      <c r="C56" s="102" t="s">
        <v>63</v>
      </c>
      <c r="D56" s="102" t="s">
        <v>62</v>
      </c>
      <c r="E56" s="102" t="s">
        <v>6</v>
      </c>
      <c r="F56" s="102" t="s">
        <v>18</v>
      </c>
      <c r="G56" s="102" t="s">
        <v>8</v>
      </c>
      <c r="H56" s="102" t="s">
        <v>9</v>
      </c>
      <c r="I56" s="102" t="s">
        <v>10</v>
      </c>
      <c r="J56" s="102" t="s">
        <v>12</v>
      </c>
      <c r="K56" s="102" t="s">
        <v>88</v>
      </c>
      <c r="L56" s="102" t="s">
        <v>15</v>
      </c>
      <c r="M56" s="102" t="s">
        <v>16</v>
      </c>
      <c r="N56" s="102" t="s">
        <v>14</v>
      </c>
      <c r="O56" s="102" t="s">
        <v>19</v>
      </c>
      <c r="P56" s="102" t="s">
        <v>20</v>
      </c>
      <c r="Q56" s="102" t="s">
        <v>11</v>
      </c>
      <c r="R56" s="101" t="s">
        <v>89</v>
      </c>
      <c r="S56" s="102" t="s">
        <v>61</v>
      </c>
      <c r="T56" s="102" t="s">
        <v>62</v>
      </c>
      <c r="U56" s="102" t="s">
        <v>63</v>
      </c>
      <c r="V56" s="102" t="s">
        <v>64</v>
      </c>
      <c r="W56" s="102" t="s">
        <v>12</v>
      </c>
      <c r="X56" s="102" t="s">
        <v>88</v>
      </c>
      <c r="Y56" s="102" t="s">
        <v>10</v>
      </c>
      <c r="Z56" s="102" t="s">
        <v>70</v>
      </c>
      <c r="AA56" s="103"/>
      <c r="AB56" s="104">
        <v>1.0</v>
      </c>
      <c r="AC56" s="100">
        <v>0.0</v>
      </c>
      <c r="AD56" s="119"/>
    </row>
    <row r="57">
      <c r="A57" s="106" t="s">
        <v>139</v>
      </c>
      <c r="B57" s="107">
        <v>3.0</v>
      </c>
      <c r="C57" s="107">
        <v>0.0</v>
      </c>
      <c r="D57" s="107">
        <v>0.0</v>
      </c>
      <c r="E57" s="107">
        <v>0.0</v>
      </c>
      <c r="F57" s="107">
        <v>0.0</v>
      </c>
      <c r="G57" s="107">
        <v>0.0</v>
      </c>
      <c r="H57" s="107">
        <v>0.0</v>
      </c>
      <c r="I57" s="107">
        <v>0.0</v>
      </c>
      <c r="J57" s="107">
        <v>0.0</v>
      </c>
      <c r="K57" s="107">
        <v>1.0</v>
      </c>
      <c r="L57" s="107">
        <v>0.0</v>
      </c>
      <c r="M57" s="107">
        <v>0.0</v>
      </c>
      <c r="N57" s="107">
        <v>0.0</v>
      </c>
      <c r="O57" s="107">
        <v>0.0</v>
      </c>
      <c r="P57" s="107">
        <v>0.0</v>
      </c>
      <c r="Q57" s="107">
        <v>0.0</v>
      </c>
      <c r="R57" s="106" t="s">
        <v>140</v>
      </c>
      <c r="S57" s="107">
        <v>7.0</v>
      </c>
      <c r="T57" s="107">
        <v>0.0</v>
      </c>
      <c r="U57" s="107">
        <v>0.0</v>
      </c>
      <c r="V57" s="107">
        <v>0.0</v>
      </c>
      <c r="W57" s="107">
        <v>1.0</v>
      </c>
      <c r="X57" s="107">
        <v>17.0</v>
      </c>
      <c r="Y57" s="107">
        <v>0.0</v>
      </c>
      <c r="Z57" s="107">
        <v>0.0</v>
      </c>
      <c r="AA57" s="109"/>
      <c r="AB57" s="110">
        <v>2.0</v>
      </c>
      <c r="AC57" s="100">
        <v>0.0</v>
      </c>
      <c r="AD57" s="119"/>
    </row>
    <row r="58">
      <c r="A58" s="106" t="s">
        <v>141</v>
      </c>
      <c r="B58" s="112">
        <v>3.0</v>
      </c>
      <c r="C58" s="112">
        <v>1.0</v>
      </c>
      <c r="D58" s="112">
        <v>2.0</v>
      </c>
      <c r="E58" s="112">
        <v>2.0</v>
      </c>
      <c r="F58" s="112">
        <v>0.667</v>
      </c>
      <c r="G58" s="112">
        <v>0.0</v>
      </c>
      <c r="H58" s="112">
        <v>0.0</v>
      </c>
      <c r="I58" s="112">
        <v>1.0</v>
      </c>
      <c r="J58" s="112">
        <v>0.0</v>
      </c>
      <c r="K58" s="112">
        <v>0.0</v>
      </c>
      <c r="L58" s="112">
        <v>0.0</v>
      </c>
      <c r="M58" s="112">
        <v>0.0</v>
      </c>
      <c r="N58" s="112">
        <v>0.0</v>
      </c>
      <c r="O58" s="112">
        <v>0.667</v>
      </c>
      <c r="P58" s="112">
        <v>1.667</v>
      </c>
      <c r="Q58" s="112">
        <v>0.0</v>
      </c>
      <c r="R58" s="120" t="s">
        <v>99</v>
      </c>
      <c r="S58" s="112">
        <v>7.0</v>
      </c>
      <c r="T58" s="112">
        <v>0.0</v>
      </c>
      <c r="U58" s="112">
        <v>0.0</v>
      </c>
      <c r="V58" s="112">
        <v>0.0</v>
      </c>
      <c r="W58" s="112">
        <v>1.0</v>
      </c>
      <c r="X58" s="112">
        <v>17.0</v>
      </c>
      <c r="Y58" s="112">
        <v>0.0</v>
      </c>
      <c r="Z58" s="112">
        <v>0.0</v>
      </c>
      <c r="AA58" s="114"/>
      <c r="AB58" s="115">
        <v>3.0</v>
      </c>
      <c r="AC58" s="100">
        <v>2.0</v>
      </c>
      <c r="AD58" s="100" t="s">
        <v>39</v>
      </c>
    </row>
    <row r="59">
      <c r="A59" s="106" t="s">
        <v>142</v>
      </c>
      <c r="B59" s="107">
        <v>2.0</v>
      </c>
      <c r="C59" s="107">
        <v>0.0</v>
      </c>
      <c r="D59" s="107">
        <v>0.0</v>
      </c>
      <c r="E59" s="107">
        <v>0.0</v>
      </c>
      <c r="F59" s="107">
        <v>0.0</v>
      </c>
      <c r="G59" s="107">
        <v>0.0</v>
      </c>
      <c r="H59" s="107">
        <v>0.0</v>
      </c>
      <c r="I59" s="107">
        <v>0.0</v>
      </c>
      <c r="J59" s="107">
        <v>0.0</v>
      </c>
      <c r="K59" s="107">
        <v>1.0</v>
      </c>
      <c r="L59" s="107">
        <v>0.0</v>
      </c>
      <c r="M59" s="107">
        <v>0.0</v>
      </c>
      <c r="N59" s="107">
        <v>0.0</v>
      </c>
      <c r="O59" s="107">
        <v>0.0</v>
      </c>
      <c r="P59" s="107">
        <v>0.0</v>
      </c>
      <c r="Q59" s="107">
        <v>0.0</v>
      </c>
      <c r="R59" s="118"/>
      <c r="AB59" s="110">
        <v>4.0</v>
      </c>
      <c r="AC59" s="100">
        <v>0.0</v>
      </c>
      <c r="AD59" s="119"/>
    </row>
    <row r="60">
      <c r="A60" s="106" t="s">
        <v>143</v>
      </c>
      <c r="B60" s="112">
        <v>1.0</v>
      </c>
      <c r="C60" s="112">
        <v>1.0</v>
      </c>
      <c r="D60" s="112">
        <v>0.0</v>
      </c>
      <c r="E60" s="112">
        <v>1.0</v>
      </c>
      <c r="F60" s="112">
        <v>0.0</v>
      </c>
      <c r="G60" s="112">
        <v>0.0</v>
      </c>
      <c r="H60" s="112">
        <v>0.0</v>
      </c>
      <c r="I60" s="112">
        <v>0.0</v>
      </c>
      <c r="J60" s="112">
        <v>1.0</v>
      </c>
      <c r="K60" s="112">
        <v>0.0</v>
      </c>
      <c r="L60" s="112">
        <v>1.0</v>
      </c>
      <c r="M60" s="112">
        <v>0.0</v>
      </c>
      <c r="N60" s="112">
        <v>0.0</v>
      </c>
      <c r="O60" s="112">
        <v>0.333</v>
      </c>
      <c r="P60" s="112">
        <v>0.0</v>
      </c>
      <c r="Q60" s="112">
        <v>2.0</v>
      </c>
      <c r="AB60" s="115">
        <v>5.0</v>
      </c>
      <c r="AC60" s="100">
        <v>0.0</v>
      </c>
      <c r="AD60" s="119"/>
    </row>
    <row r="61">
      <c r="A61" s="106" t="s">
        <v>144</v>
      </c>
      <c r="B61" s="107">
        <v>2.0</v>
      </c>
      <c r="C61" s="107">
        <v>1.0</v>
      </c>
      <c r="D61" s="107">
        <v>1.0</v>
      </c>
      <c r="E61" s="107">
        <v>0.0</v>
      </c>
      <c r="F61" s="107">
        <v>0.5</v>
      </c>
      <c r="G61" s="107">
        <v>0.0</v>
      </c>
      <c r="H61" s="107">
        <v>0.0</v>
      </c>
      <c r="I61" s="107">
        <v>0.0</v>
      </c>
      <c r="J61" s="107">
        <v>1.0</v>
      </c>
      <c r="K61" s="107">
        <v>0.0</v>
      </c>
      <c r="L61" s="107">
        <v>0.0</v>
      </c>
      <c r="M61" s="107">
        <v>0.0</v>
      </c>
      <c r="N61" s="107">
        <v>0.0</v>
      </c>
      <c r="O61" s="107">
        <v>0.667</v>
      </c>
      <c r="P61" s="107">
        <v>0.5</v>
      </c>
      <c r="Q61" s="107">
        <v>1.0</v>
      </c>
      <c r="AB61" s="110">
        <v>6.0</v>
      </c>
      <c r="AC61" s="100">
        <v>1.0</v>
      </c>
      <c r="AD61" s="100" t="s">
        <v>44</v>
      </c>
    </row>
    <row r="62">
      <c r="A62" s="106" t="s">
        <v>145</v>
      </c>
      <c r="B62" s="112">
        <v>2.0</v>
      </c>
      <c r="C62" s="112">
        <v>1.0</v>
      </c>
      <c r="D62" s="112">
        <v>1.0</v>
      </c>
      <c r="E62" s="112">
        <v>1.0</v>
      </c>
      <c r="F62" s="112">
        <v>0.5</v>
      </c>
      <c r="G62" s="112">
        <v>0.0</v>
      </c>
      <c r="H62" s="112">
        <v>0.0</v>
      </c>
      <c r="I62" s="112">
        <v>0.0</v>
      </c>
      <c r="J62" s="112">
        <v>1.0</v>
      </c>
      <c r="K62" s="112">
        <v>0.0</v>
      </c>
      <c r="L62" s="112">
        <v>0.0</v>
      </c>
      <c r="M62" s="112">
        <v>0.0</v>
      </c>
      <c r="N62" s="112">
        <v>0.0</v>
      </c>
      <c r="O62" s="112">
        <v>0.667</v>
      </c>
      <c r="P62" s="112">
        <v>0.5</v>
      </c>
      <c r="Q62" s="112">
        <v>1.0</v>
      </c>
      <c r="AB62" s="100">
        <v>7.0</v>
      </c>
      <c r="AD62" s="119"/>
    </row>
    <row r="63">
      <c r="A63" s="106" t="s">
        <v>146</v>
      </c>
      <c r="B63" s="107">
        <v>3.0</v>
      </c>
      <c r="C63" s="107">
        <v>0.0</v>
      </c>
      <c r="D63" s="107">
        <v>1.0</v>
      </c>
      <c r="E63" s="107">
        <v>1.0</v>
      </c>
      <c r="F63" s="107">
        <v>0.333</v>
      </c>
      <c r="G63" s="107">
        <v>1.0</v>
      </c>
      <c r="H63" s="107">
        <v>0.0</v>
      </c>
      <c r="I63" s="107">
        <v>0.0</v>
      </c>
      <c r="J63" s="107">
        <v>0.0</v>
      </c>
      <c r="K63" s="107">
        <v>1.0</v>
      </c>
      <c r="L63" s="107">
        <v>0.0</v>
      </c>
      <c r="M63" s="107">
        <v>0.0</v>
      </c>
      <c r="N63" s="107">
        <v>0.0</v>
      </c>
      <c r="O63" s="107">
        <v>0.333</v>
      </c>
      <c r="P63" s="107">
        <v>0.667</v>
      </c>
      <c r="Q63" s="107">
        <v>0.0</v>
      </c>
      <c r="AD63" s="119"/>
    </row>
    <row r="64">
      <c r="A64" s="106" t="s">
        <v>147</v>
      </c>
      <c r="B64" s="112">
        <v>3.0</v>
      </c>
      <c r="C64" s="112">
        <v>0.0</v>
      </c>
      <c r="D64" s="112">
        <v>0.0</v>
      </c>
      <c r="E64" s="112">
        <v>0.0</v>
      </c>
      <c r="F64" s="112">
        <v>0.0</v>
      </c>
      <c r="G64" s="112">
        <v>0.0</v>
      </c>
      <c r="H64" s="112">
        <v>0.0</v>
      </c>
      <c r="I64" s="112">
        <v>0.0</v>
      </c>
      <c r="J64" s="112">
        <v>0.0</v>
      </c>
      <c r="K64" s="112">
        <v>1.0</v>
      </c>
      <c r="L64" s="112">
        <v>0.0</v>
      </c>
      <c r="M64" s="112">
        <v>0.0</v>
      </c>
      <c r="N64" s="112">
        <v>0.0</v>
      </c>
      <c r="O64" s="112">
        <v>0.0</v>
      </c>
      <c r="P64" s="112">
        <v>0.0</v>
      </c>
      <c r="Q64" s="112">
        <v>0.0</v>
      </c>
      <c r="AD64" s="119"/>
    </row>
    <row r="65">
      <c r="A65" s="106" t="s">
        <v>148</v>
      </c>
      <c r="B65" s="107">
        <v>0.0</v>
      </c>
      <c r="C65" s="107">
        <v>1.0</v>
      </c>
      <c r="D65" s="107">
        <v>0.0</v>
      </c>
      <c r="E65" s="107">
        <v>0.0</v>
      </c>
      <c r="F65" s="107">
        <v>0.0</v>
      </c>
      <c r="G65" s="107">
        <v>0.0</v>
      </c>
      <c r="H65" s="107">
        <v>0.0</v>
      </c>
      <c r="I65" s="107">
        <v>0.0</v>
      </c>
      <c r="J65" s="107">
        <v>0.0</v>
      </c>
      <c r="K65" s="107">
        <v>0.0</v>
      </c>
      <c r="L65" s="107">
        <v>0.0</v>
      </c>
      <c r="M65" s="107">
        <v>0.0</v>
      </c>
      <c r="N65" s="107">
        <v>0.0</v>
      </c>
      <c r="O65" s="107">
        <v>0.0</v>
      </c>
      <c r="P65" s="107">
        <v>0.0</v>
      </c>
      <c r="Q65" s="107">
        <v>0.0</v>
      </c>
      <c r="AD65" s="119"/>
    </row>
    <row r="66">
      <c r="A66" s="106" t="s">
        <v>149</v>
      </c>
      <c r="B66" s="112">
        <v>2.0</v>
      </c>
      <c r="C66" s="112">
        <v>0.0</v>
      </c>
      <c r="D66" s="112">
        <v>1.0</v>
      </c>
      <c r="E66" s="112">
        <v>0.0</v>
      </c>
      <c r="F66" s="112">
        <v>0.5</v>
      </c>
      <c r="G66" s="112">
        <v>0.0</v>
      </c>
      <c r="H66" s="112">
        <v>0.0</v>
      </c>
      <c r="I66" s="112">
        <v>0.0</v>
      </c>
      <c r="J66" s="112">
        <v>1.0</v>
      </c>
      <c r="K66" s="112">
        <v>0.0</v>
      </c>
      <c r="L66" s="112">
        <v>0.0</v>
      </c>
      <c r="M66" s="112">
        <v>0.0</v>
      </c>
      <c r="N66" s="112">
        <v>0.0</v>
      </c>
      <c r="O66" s="112">
        <v>0.667</v>
      </c>
      <c r="P66" s="112">
        <v>0.5</v>
      </c>
      <c r="Q66" s="112">
        <v>1.0</v>
      </c>
      <c r="AD66" s="119"/>
    </row>
    <row r="67">
      <c r="A67" s="117" t="s">
        <v>99</v>
      </c>
      <c r="B67" s="107">
        <v>21.0</v>
      </c>
      <c r="C67" s="107">
        <v>5.0</v>
      </c>
      <c r="D67" s="107">
        <v>6.0</v>
      </c>
      <c r="E67" s="107">
        <v>5.0</v>
      </c>
      <c r="F67" s="107">
        <v>0.286</v>
      </c>
      <c r="G67" s="107">
        <v>1.0</v>
      </c>
      <c r="H67" s="107">
        <v>0.0</v>
      </c>
      <c r="I67" s="107">
        <v>1.0</v>
      </c>
      <c r="J67" s="107">
        <v>4.0</v>
      </c>
      <c r="K67" s="107">
        <v>4.0</v>
      </c>
      <c r="L67" s="107">
        <v>1.0</v>
      </c>
      <c r="M67" s="107">
        <v>0.0</v>
      </c>
      <c r="N67" s="107">
        <v>0.0</v>
      </c>
      <c r="O67" s="107">
        <v>0.385</v>
      </c>
      <c r="P67" s="107">
        <v>0.476</v>
      </c>
      <c r="Q67" s="107">
        <v>5.0</v>
      </c>
      <c r="AD67" s="119"/>
    </row>
    <row r="68">
      <c r="A68" s="118"/>
      <c r="AD68" s="119"/>
    </row>
    <row r="69">
      <c r="A69" s="98" t="s">
        <v>84</v>
      </c>
      <c r="Q69" s="99"/>
      <c r="R69" s="101" t="s">
        <v>89</v>
      </c>
      <c r="S69" s="102" t="s">
        <v>61</v>
      </c>
      <c r="T69" s="102" t="s">
        <v>62</v>
      </c>
      <c r="U69" s="102" t="s">
        <v>63</v>
      </c>
      <c r="V69" s="102" t="s">
        <v>64</v>
      </c>
      <c r="W69" s="102" t="s">
        <v>12</v>
      </c>
      <c r="X69" s="102" t="s">
        <v>88</v>
      </c>
      <c r="Y69" s="102" t="s">
        <v>10</v>
      </c>
      <c r="Z69" s="102" t="s">
        <v>70</v>
      </c>
      <c r="AA69" s="103"/>
      <c r="AB69" s="104">
        <v>1.0</v>
      </c>
      <c r="AC69" s="100">
        <v>1.0</v>
      </c>
      <c r="AD69" s="100" t="s">
        <v>51</v>
      </c>
    </row>
    <row r="70">
      <c r="A70" s="101" t="s">
        <v>87</v>
      </c>
      <c r="B70" s="102" t="s">
        <v>3</v>
      </c>
      <c r="C70" s="102" t="s">
        <v>63</v>
      </c>
      <c r="D70" s="102" t="s">
        <v>62</v>
      </c>
      <c r="E70" s="102" t="s">
        <v>6</v>
      </c>
      <c r="F70" s="102" t="s">
        <v>18</v>
      </c>
      <c r="G70" s="102" t="s">
        <v>8</v>
      </c>
      <c r="H70" s="102" t="s">
        <v>9</v>
      </c>
      <c r="I70" s="102" t="s">
        <v>10</v>
      </c>
      <c r="J70" s="102" t="s">
        <v>12</v>
      </c>
      <c r="K70" s="102" t="s">
        <v>88</v>
      </c>
      <c r="L70" s="102" t="s">
        <v>15</v>
      </c>
      <c r="M70" s="102" t="s">
        <v>16</v>
      </c>
      <c r="N70" s="102" t="s">
        <v>14</v>
      </c>
      <c r="O70" s="102" t="s">
        <v>19</v>
      </c>
      <c r="P70" s="102" t="s">
        <v>20</v>
      </c>
      <c r="Q70" s="102" t="s">
        <v>11</v>
      </c>
      <c r="R70" s="106" t="s">
        <v>150</v>
      </c>
      <c r="S70" s="107">
        <v>3.0</v>
      </c>
      <c r="T70" s="107">
        <v>2.0</v>
      </c>
      <c r="U70" s="107">
        <v>1.0</v>
      </c>
      <c r="V70" s="107">
        <v>1.0</v>
      </c>
      <c r="W70" s="107">
        <v>1.0</v>
      </c>
      <c r="X70" s="107">
        <v>5.0</v>
      </c>
      <c r="Y70" s="107">
        <v>0.0</v>
      </c>
      <c r="Z70" s="107">
        <v>2.333</v>
      </c>
      <c r="AA70" s="109"/>
      <c r="AB70" s="110">
        <v>2.0</v>
      </c>
      <c r="AC70" s="100">
        <v>1.0</v>
      </c>
      <c r="AD70" s="100" t="s">
        <v>38</v>
      </c>
    </row>
    <row r="71">
      <c r="A71" s="106" t="s">
        <v>151</v>
      </c>
      <c r="B71" s="107">
        <v>3.0</v>
      </c>
      <c r="C71" s="107">
        <v>3.0</v>
      </c>
      <c r="D71" s="107">
        <v>3.0</v>
      </c>
      <c r="E71" s="107">
        <v>1.0</v>
      </c>
      <c r="F71" s="107">
        <v>1.0</v>
      </c>
      <c r="G71" s="107">
        <v>0.0</v>
      </c>
      <c r="H71" s="107">
        <v>1.0</v>
      </c>
      <c r="I71" s="107">
        <v>0.0</v>
      </c>
      <c r="J71" s="107">
        <v>1.0</v>
      </c>
      <c r="K71" s="107">
        <v>0.0</v>
      </c>
      <c r="L71" s="107">
        <v>0.0</v>
      </c>
      <c r="M71" s="107">
        <v>0.0</v>
      </c>
      <c r="N71" s="107">
        <v>0.0</v>
      </c>
      <c r="O71" s="107">
        <v>1.0</v>
      </c>
      <c r="P71" s="107">
        <v>1.667</v>
      </c>
      <c r="Q71" s="107">
        <v>2.0</v>
      </c>
      <c r="R71" s="106" t="s">
        <v>152</v>
      </c>
      <c r="S71" s="112">
        <v>2.0</v>
      </c>
      <c r="T71" s="112">
        <v>1.0</v>
      </c>
      <c r="U71" s="112">
        <v>0.0</v>
      </c>
      <c r="V71" s="112">
        <v>0.0</v>
      </c>
      <c r="W71" s="112">
        <v>1.0</v>
      </c>
      <c r="X71" s="112">
        <v>2.0</v>
      </c>
      <c r="Y71" s="112">
        <v>0.0</v>
      </c>
      <c r="Z71" s="112">
        <v>0.0</v>
      </c>
      <c r="AA71" s="114"/>
      <c r="AB71" s="115">
        <v>3.0</v>
      </c>
      <c r="AC71" s="100">
        <v>2.0</v>
      </c>
      <c r="AD71" s="100" t="s">
        <v>51</v>
      </c>
    </row>
    <row r="72">
      <c r="A72" s="106" t="s">
        <v>153</v>
      </c>
      <c r="B72" s="112">
        <v>2.0</v>
      </c>
      <c r="C72" s="112">
        <v>2.0</v>
      </c>
      <c r="D72" s="112">
        <v>1.0</v>
      </c>
      <c r="E72" s="112">
        <v>2.0</v>
      </c>
      <c r="F72" s="112">
        <v>0.5</v>
      </c>
      <c r="G72" s="112">
        <v>0.0</v>
      </c>
      <c r="H72" s="112">
        <v>0.0</v>
      </c>
      <c r="I72" s="112">
        <v>0.0</v>
      </c>
      <c r="J72" s="112">
        <v>2.0</v>
      </c>
      <c r="K72" s="112">
        <v>0.0</v>
      </c>
      <c r="L72" s="112">
        <v>0.0</v>
      </c>
      <c r="M72" s="112">
        <v>0.0</v>
      </c>
      <c r="N72" s="112">
        <v>0.0</v>
      </c>
      <c r="O72" s="112">
        <v>0.75</v>
      </c>
      <c r="P72" s="112">
        <v>0.5</v>
      </c>
      <c r="Q72" s="112">
        <v>0.0</v>
      </c>
      <c r="R72" s="117" t="s">
        <v>99</v>
      </c>
      <c r="S72" s="107">
        <v>5.0</v>
      </c>
      <c r="T72" s="107">
        <v>3.0</v>
      </c>
      <c r="U72" s="107">
        <v>1.0</v>
      </c>
      <c r="V72" s="107">
        <v>1.0</v>
      </c>
      <c r="W72" s="107">
        <v>2.0</v>
      </c>
      <c r="X72" s="107">
        <v>7.0</v>
      </c>
      <c r="Y72" s="107">
        <v>0.0</v>
      </c>
      <c r="Z72" s="107">
        <v>1.4</v>
      </c>
      <c r="AB72" s="110">
        <v>4.0</v>
      </c>
      <c r="AC72" s="100">
        <v>1.0</v>
      </c>
      <c r="AD72" s="100" t="s">
        <v>43</v>
      </c>
    </row>
    <row r="73">
      <c r="A73" s="106" t="s">
        <v>154</v>
      </c>
      <c r="B73" s="107">
        <v>2.0</v>
      </c>
      <c r="C73" s="107">
        <v>1.0</v>
      </c>
      <c r="D73" s="107">
        <v>0.0</v>
      </c>
      <c r="E73" s="107">
        <v>0.0</v>
      </c>
      <c r="F73" s="107">
        <v>0.0</v>
      </c>
      <c r="G73" s="107">
        <v>0.0</v>
      </c>
      <c r="H73" s="107">
        <v>0.0</v>
      </c>
      <c r="I73" s="107">
        <v>0.0</v>
      </c>
      <c r="J73" s="107">
        <v>1.0</v>
      </c>
      <c r="K73" s="107">
        <v>0.0</v>
      </c>
      <c r="L73" s="107">
        <v>0.0</v>
      </c>
      <c r="M73" s="107">
        <v>0.0</v>
      </c>
      <c r="N73" s="107">
        <v>0.0</v>
      </c>
      <c r="O73" s="107">
        <v>0.333</v>
      </c>
      <c r="P73" s="107">
        <v>0.0</v>
      </c>
      <c r="Q73" s="107">
        <v>0.0</v>
      </c>
      <c r="AB73" s="115">
        <v>5.0</v>
      </c>
      <c r="AC73" s="100"/>
      <c r="AD73" s="119"/>
    </row>
    <row r="74">
      <c r="A74" s="106" t="s">
        <v>155</v>
      </c>
      <c r="B74" s="112">
        <v>2.0</v>
      </c>
      <c r="C74" s="112">
        <v>1.0</v>
      </c>
      <c r="D74" s="112">
        <v>1.0</v>
      </c>
      <c r="E74" s="112">
        <v>3.0</v>
      </c>
      <c r="F74" s="112">
        <v>0.5</v>
      </c>
      <c r="G74" s="112">
        <v>0.0</v>
      </c>
      <c r="H74" s="112">
        <v>1.0</v>
      </c>
      <c r="I74" s="112">
        <v>0.0</v>
      </c>
      <c r="J74" s="112">
        <v>0.0</v>
      </c>
      <c r="K74" s="112">
        <v>0.0</v>
      </c>
      <c r="L74" s="112">
        <v>0.0</v>
      </c>
      <c r="M74" s="112">
        <v>0.0</v>
      </c>
      <c r="N74" s="112">
        <v>0.0</v>
      </c>
      <c r="O74" s="112">
        <v>0.5</v>
      </c>
      <c r="P74" s="112">
        <v>1.5</v>
      </c>
      <c r="Q74" s="112">
        <v>1.0</v>
      </c>
      <c r="AB74" s="110">
        <v>6.0</v>
      </c>
      <c r="AC74" s="100"/>
      <c r="AD74" s="119"/>
    </row>
    <row r="75">
      <c r="A75" s="106" t="s">
        <v>156</v>
      </c>
      <c r="B75" s="107">
        <v>2.0</v>
      </c>
      <c r="C75" s="107">
        <v>1.0</v>
      </c>
      <c r="D75" s="107">
        <v>1.0</v>
      </c>
      <c r="E75" s="107">
        <v>2.0</v>
      </c>
      <c r="F75" s="107">
        <v>0.5</v>
      </c>
      <c r="G75" s="107">
        <v>0.0</v>
      </c>
      <c r="H75" s="107">
        <v>0.0</v>
      </c>
      <c r="I75" s="107">
        <v>0.0</v>
      </c>
      <c r="J75" s="107">
        <v>0.0</v>
      </c>
      <c r="K75" s="107">
        <v>0.0</v>
      </c>
      <c r="L75" s="107">
        <v>0.0</v>
      </c>
      <c r="M75" s="107">
        <v>0.0</v>
      </c>
      <c r="N75" s="107">
        <v>0.0</v>
      </c>
      <c r="O75" s="107">
        <v>0.5</v>
      </c>
      <c r="P75" s="107">
        <v>0.5</v>
      </c>
      <c r="Q75" s="107">
        <v>1.0</v>
      </c>
      <c r="AD75" s="119"/>
    </row>
    <row r="76">
      <c r="A76" s="106" t="s">
        <v>157</v>
      </c>
      <c r="B76" s="112">
        <v>0.0</v>
      </c>
      <c r="C76" s="112">
        <v>1.0</v>
      </c>
      <c r="D76" s="112">
        <v>0.0</v>
      </c>
      <c r="E76" s="112">
        <v>0.0</v>
      </c>
      <c r="F76" s="112">
        <v>0.0</v>
      </c>
      <c r="G76" s="112">
        <v>0.0</v>
      </c>
      <c r="H76" s="112">
        <v>0.0</v>
      </c>
      <c r="I76" s="112">
        <v>0.0</v>
      </c>
      <c r="J76" s="112">
        <v>0.0</v>
      </c>
      <c r="K76" s="112">
        <v>0.0</v>
      </c>
      <c r="L76" s="112">
        <v>0.0</v>
      </c>
      <c r="M76" s="112">
        <v>0.0</v>
      </c>
      <c r="N76" s="112">
        <v>1.0</v>
      </c>
      <c r="O76" s="112">
        <v>1.0</v>
      </c>
      <c r="P76" s="112">
        <v>0.0</v>
      </c>
      <c r="Q76" s="112">
        <v>0.0</v>
      </c>
      <c r="AD76" s="119"/>
    </row>
    <row r="77">
      <c r="A77" s="106" t="s">
        <v>158</v>
      </c>
      <c r="B77" s="107">
        <v>4.0</v>
      </c>
      <c r="C77" s="107">
        <v>0.0</v>
      </c>
      <c r="D77" s="107">
        <v>0.0</v>
      </c>
      <c r="E77" s="107">
        <v>0.0</v>
      </c>
      <c r="F77" s="107">
        <v>0.0</v>
      </c>
      <c r="G77" s="107">
        <v>0.0</v>
      </c>
      <c r="H77" s="107">
        <v>0.0</v>
      </c>
      <c r="I77" s="107">
        <v>0.0</v>
      </c>
      <c r="J77" s="107">
        <v>0.0</v>
      </c>
      <c r="K77" s="107">
        <v>2.0</v>
      </c>
      <c r="L77" s="107">
        <v>0.0</v>
      </c>
      <c r="M77" s="107">
        <v>0.0</v>
      </c>
      <c r="N77" s="107">
        <v>0.0</v>
      </c>
      <c r="O77" s="107">
        <v>0.0</v>
      </c>
      <c r="P77" s="107">
        <v>0.0</v>
      </c>
      <c r="Q77" s="107">
        <v>0.0</v>
      </c>
      <c r="AD77" s="119"/>
    </row>
    <row r="78">
      <c r="A78" s="106" t="s">
        <v>159</v>
      </c>
      <c r="B78" s="112">
        <v>1.0</v>
      </c>
      <c r="C78" s="112">
        <v>1.0</v>
      </c>
      <c r="D78" s="112">
        <v>0.0</v>
      </c>
      <c r="E78" s="112">
        <v>0.0</v>
      </c>
      <c r="F78" s="112">
        <v>0.0</v>
      </c>
      <c r="G78" s="112">
        <v>0.0</v>
      </c>
      <c r="H78" s="112">
        <v>0.0</v>
      </c>
      <c r="I78" s="112">
        <v>0.0</v>
      </c>
      <c r="J78" s="112">
        <v>0.0</v>
      </c>
      <c r="K78" s="112">
        <v>1.0</v>
      </c>
      <c r="L78" s="112">
        <v>0.0</v>
      </c>
      <c r="M78" s="112">
        <v>0.0</v>
      </c>
      <c r="N78" s="112">
        <v>1.0</v>
      </c>
      <c r="O78" s="112">
        <v>0.5</v>
      </c>
      <c r="P78" s="112">
        <v>0.0</v>
      </c>
      <c r="Q78" s="112">
        <v>0.0</v>
      </c>
      <c r="AD78" s="119"/>
    </row>
    <row r="79">
      <c r="A79" s="106" t="s">
        <v>160</v>
      </c>
      <c r="B79" s="107">
        <v>1.0</v>
      </c>
      <c r="C79" s="107">
        <v>2.0</v>
      </c>
      <c r="D79" s="107">
        <v>1.0</v>
      </c>
      <c r="E79" s="107">
        <v>0.0</v>
      </c>
      <c r="F79" s="107">
        <v>1.0</v>
      </c>
      <c r="G79" s="107">
        <v>0.0</v>
      </c>
      <c r="H79" s="107">
        <v>0.0</v>
      </c>
      <c r="I79" s="107">
        <v>0.0</v>
      </c>
      <c r="J79" s="107">
        <v>1.0</v>
      </c>
      <c r="K79" s="107">
        <v>0.0</v>
      </c>
      <c r="L79" s="107">
        <v>0.0</v>
      </c>
      <c r="M79" s="107">
        <v>0.0</v>
      </c>
      <c r="N79" s="107">
        <v>0.0</v>
      </c>
      <c r="O79" s="107">
        <v>1.0</v>
      </c>
      <c r="P79" s="107">
        <v>1.0</v>
      </c>
      <c r="Q79" s="107">
        <v>2.0</v>
      </c>
      <c r="AD79" s="119"/>
    </row>
    <row r="80">
      <c r="A80" s="106" t="s">
        <v>161</v>
      </c>
      <c r="B80" s="112">
        <v>1.0</v>
      </c>
      <c r="C80" s="112">
        <v>0.0</v>
      </c>
      <c r="D80" s="112">
        <v>0.0</v>
      </c>
      <c r="E80" s="112">
        <v>1.0</v>
      </c>
      <c r="F80" s="112">
        <v>0.0</v>
      </c>
      <c r="G80" s="112">
        <v>0.0</v>
      </c>
      <c r="H80" s="112">
        <v>0.0</v>
      </c>
      <c r="I80" s="112">
        <v>0.0</v>
      </c>
      <c r="J80" s="112">
        <v>1.0</v>
      </c>
      <c r="K80" s="112">
        <v>0.0</v>
      </c>
      <c r="L80" s="112">
        <v>0.0</v>
      </c>
      <c r="M80" s="112">
        <v>0.0</v>
      </c>
      <c r="N80" s="112">
        <v>0.0</v>
      </c>
      <c r="O80" s="112">
        <v>0.5</v>
      </c>
      <c r="P80" s="112">
        <v>0.0</v>
      </c>
      <c r="Q80" s="112">
        <v>0.0</v>
      </c>
      <c r="AD80" s="119"/>
    </row>
    <row r="81">
      <c r="A81" s="106" t="s">
        <v>162</v>
      </c>
      <c r="B81" s="107">
        <v>2.0</v>
      </c>
      <c r="C81" s="107">
        <v>2.0</v>
      </c>
      <c r="D81" s="107">
        <v>1.0</v>
      </c>
      <c r="E81" s="107">
        <v>1.0</v>
      </c>
      <c r="F81" s="107">
        <v>0.5</v>
      </c>
      <c r="G81" s="107">
        <v>0.0</v>
      </c>
      <c r="H81" s="107">
        <v>0.0</v>
      </c>
      <c r="I81" s="107">
        <v>0.0</v>
      </c>
      <c r="J81" s="107">
        <v>1.0</v>
      </c>
      <c r="K81" s="107">
        <v>0.0</v>
      </c>
      <c r="L81" s="107">
        <v>0.0</v>
      </c>
      <c r="M81" s="107">
        <v>0.0</v>
      </c>
      <c r="N81" s="107">
        <v>0.0</v>
      </c>
      <c r="O81" s="107">
        <v>0.667</v>
      </c>
      <c r="P81" s="107">
        <v>0.5</v>
      </c>
      <c r="Q81" s="107">
        <v>0.0</v>
      </c>
      <c r="AD81" s="119"/>
    </row>
    <row r="82">
      <c r="A82" s="106" t="s">
        <v>163</v>
      </c>
      <c r="B82" s="112">
        <v>2.0</v>
      </c>
      <c r="C82" s="112">
        <v>1.0</v>
      </c>
      <c r="D82" s="112">
        <v>2.0</v>
      </c>
      <c r="E82" s="112">
        <v>3.0</v>
      </c>
      <c r="F82" s="112">
        <v>1.0</v>
      </c>
      <c r="G82" s="112">
        <v>0.0</v>
      </c>
      <c r="H82" s="112">
        <v>0.0</v>
      </c>
      <c r="I82" s="112">
        <v>0.0</v>
      </c>
      <c r="J82" s="112">
        <v>0.0</v>
      </c>
      <c r="K82" s="112">
        <v>0.0</v>
      </c>
      <c r="L82" s="112">
        <v>0.0</v>
      </c>
      <c r="M82" s="112">
        <v>0.0</v>
      </c>
      <c r="N82" s="112">
        <v>0.0</v>
      </c>
      <c r="O82" s="112">
        <v>1.0</v>
      </c>
      <c r="P82" s="112">
        <v>1.0</v>
      </c>
      <c r="Q82" s="112">
        <v>2.0</v>
      </c>
      <c r="AD82" s="119"/>
    </row>
    <row r="83">
      <c r="A83" s="106" t="s">
        <v>164</v>
      </c>
      <c r="B83" s="107">
        <v>1.0</v>
      </c>
      <c r="C83" s="107">
        <v>0.0</v>
      </c>
      <c r="D83" s="107">
        <v>1.0</v>
      </c>
      <c r="E83" s="107">
        <v>0.0</v>
      </c>
      <c r="F83" s="107">
        <v>1.0</v>
      </c>
      <c r="G83" s="107">
        <v>0.0</v>
      </c>
      <c r="H83" s="107">
        <v>0.0</v>
      </c>
      <c r="I83" s="107">
        <v>0.0</v>
      </c>
      <c r="J83" s="107">
        <v>0.0</v>
      </c>
      <c r="K83" s="107">
        <v>0.0</v>
      </c>
      <c r="L83" s="107">
        <v>0.0</v>
      </c>
      <c r="M83" s="107">
        <v>0.0</v>
      </c>
      <c r="N83" s="107">
        <v>0.0</v>
      </c>
      <c r="O83" s="107">
        <v>1.0</v>
      </c>
      <c r="P83" s="107">
        <v>1.0</v>
      </c>
      <c r="Q83" s="107">
        <v>0.0</v>
      </c>
      <c r="AD83" s="119"/>
    </row>
    <row r="84">
      <c r="A84" s="106" t="s">
        <v>165</v>
      </c>
      <c r="B84" s="112">
        <v>0.0</v>
      </c>
      <c r="C84" s="112">
        <v>2.0</v>
      </c>
      <c r="D84" s="112">
        <v>0.0</v>
      </c>
      <c r="E84" s="112">
        <v>1.0</v>
      </c>
      <c r="F84" s="112">
        <v>0.0</v>
      </c>
      <c r="G84" s="112">
        <v>0.0</v>
      </c>
      <c r="H84" s="112">
        <v>0.0</v>
      </c>
      <c r="I84" s="112">
        <v>0.0</v>
      </c>
      <c r="J84" s="112">
        <v>2.0</v>
      </c>
      <c r="K84" s="112">
        <v>0.0</v>
      </c>
      <c r="L84" s="112">
        <v>0.0</v>
      </c>
      <c r="M84" s="112">
        <v>0.0</v>
      </c>
      <c r="N84" s="112">
        <v>0.0</v>
      </c>
      <c r="O84" s="112">
        <v>1.0</v>
      </c>
      <c r="P84" s="112">
        <v>0.0</v>
      </c>
      <c r="Q84" s="112">
        <v>0.0</v>
      </c>
      <c r="AD84" s="119"/>
    </row>
    <row r="85">
      <c r="A85" s="106" t="s">
        <v>166</v>
      </c>
      <c r="B85" s="107">
        <v>2.0</v>
      </c>
      <c r="C85" s="107">
        <v>2.0</v>
      </c>
      <c r="D85" s="107">
        <v>1.0</v>
      </c>
      <c r="E85" s="107">
        <v>1.0</v>
      </c>
      <c r="F85" s="107">
        <v>0.5</v>
      </c>
      <c r="G85" s="107">
        <v>1.0</v>
      </c>
      <c r="H85" s="107">
        <v>0.0</v>
      </c>
      <c r="I85" s="107">
        <v>0.0</v>
      </c>
      <c r="J85" s="107">
        <v>0.0</v>
      </c>
      <c r="K85" s="107">
        <v>0.0</v>
      </c>
      <c r="L85" s="107">
        <v>0.0</v>
      </c>
      <c r="M85" s="107">
        <v>0.0</v>
      </c>
      <c r="N85" s="107">
        <v>0.0</v>
      </c>
      <c r="O85" s="107">
        <v>0.5</v>
      </c>
      <c r="P85" s="107">
        <v>1.0</v>
      </c>
      <c r="Q85" s="107">
        <v>0.0</v>
      </c>
      <c r="AD85" s="119"/>
    </row>
    <row r="86">
      <c r="A86" s="120" t="s">
        <v>99</v>
      </c>
      <c r="B86" s="112">
        <v>25.0</v>
      </c>
      <c r="C86" s="112">
        <v>19.0</v>
      </c>
      <c r="D86" s="112">
        <v>12.0</v>
      </c>
      <c r="E86" s="112">
        <v>15.0</v>
      </c>
      <c r="F86" s="112">
        <v>0.48</v>
      </c>
      <c r="G86" s="112">
        <v>1.0</v>
      </c>
      <c r="H86" s="112">
        <v>2.0</v>
      </c>
      <c r="I86" s="112">
        <v>0.0</v>
      </c>
      <c r="J86" s="112">
        <v>9.0</v>
      </c>
      <c r="K86" s="112">
        <v>3.0</v>
      </c>
      <c r="L86" s="112">
        <v>0.0</v>
      </c>
      <c r="M86" s="112">
        <v>0.0</v>
      </c>
      <c r="N86" s="112">
        <v>2.0</v>
      </c>
      <c r="O86" s="112">
        <v>0.639</v>
      </c>
      <c r="P86" s="112">
        <v>0.68</v>
      </c>
      <c r="Q86" s="112">
        <v>8.0</v>
      </c>
      <c r="AD86" s="119"/>
    </row>
    <row r="87">
      <c r="A87" s="118"/>
      <c r="AD87" s="119"/>
    </row>
    <row r="88">
      <c r="A88" s="98" t="s">
        <v>84</v>
      </c>
      <c r="Q88" s="99"/>
      <c r="R88" s="101" t="s">
        <v>89</v>
      </c>
      <c r="S88" s="102" t="s">
        <v>61</v>
      </c>
      <c r="T88" s="102" t="s">
        <v>62</v>
      </c>
      <c r="U88" s="102" t="s">
        <v>63</v>
      </c>
      <c r="V88" s="102" t="s">
        <v>64</v>
      </c>
      <c r="W88" s="102" t="s">
        <v>12</v>
      </c>
      <c r="X88" s="102" t="s">
        <v>88</v>
      </c>
      <c r="Y88" s="102" t="s">
        <v>10</v>
      </c>
      <c r="Z88" s="102" t="s">
        <v>70</v>
      </c>
      <c r="AA88" s="103"/>
      <c r="AB88" s="104">
        <v>1.0</v>
      </c>
      <c r="AC88" s="100">
        <v>1.0</v>
      </c>
      <c r="AD88" s="100" t="s">
        <v>39</v>
      </c>
    </row>
    <row r="89">
      <c r="A89" s="101" t="s">
        <v>87</v>
      </c>
      <c r="B89" s="102" t="s">
        <v>3</v>
      </c>
      <c r="C89" s="102" t="s">
        <v>63</v>
      </c>
      <c r="D89" s="102" t="s">
        <v>62</v>
      </c>
      <c r="E89" s="102" t="s">
        <v>6</v>
      </c>
      <c r="F89" s="102" t="s">
        <v>18</v>
      </c>
      <c r="G89" s="102" t="s">
        <v>8</v>
      </c>
      <c r="H89" s="102" t="s">
        <v>9</v>
      </c>
      <c r="I89" s="102" t="s">
        <v>10</v>
      </c>
      <c r="J89" s="102" t="s">
        <v>12</v>
      </c>
      <c r="K89" s="102" t="s">
        <v>88</v>
      </c>
      <c r="L89" s="102" t="s">
        <v>15</v>
      </c>
      <c r="M89" s="102" t="s">
        <v>16</v>
      </c>
      <c r="N89" s="102" t="s">
        <v>14</v>
      </c>
      <c r="O89" s="102" t="s">
        <v>19</v>
      </c>
      <c r="P89" s="102" t="s">
        <v>20</v>
      </c>
      <c r="Q89" s="102" t="s">
        <v>11</v>
      </c>
      <c r="R89" s="106" t="s">
        <v>167</v>
      </c>
      <c r="S89" s="107">
        <v>5.2</v>
      </c>
      <c r="T89" s="107">
        <v>4.0</v>
      </c>
      <c r="U89" s="107">
        <v>1.0</v>
      </c>
      <c r="V89" s="107">
        <v>1.0</v>
      </c>
      <c r="W89" s="107">
        <v>3.0</v>
      </c>
      <c r="X89" s="107">
        <v>1.0</v>
      </c>
      <c r="Y89" s="107">
        <v>0.0</v>
      </c>
      <c r="Z89" s="107">
        <v>1.235</v>
      </c>
      <c r="AA89" s="109"/>
      <c r="AB89" s="110">
        <v>2.0</v>
      </c>
      <c r="AC89" s="100">
        <v>3.0</v>
      </c>
      <c r="AD89" s="100" t="s">
        <v>38</v>
      </c>
    </row>
    <row r="90">
      <c r="A90" s="106" t="s">
        <v>168</v>
      </c>
      <c r="B90" s="107">
        <v>3.0</v>
      </c>
      <c r="C90" s="107">
        <v>1.0</v>
      </c>
      <c r="D90" s="107">
        <v>1.0</v>
      </c>
      <c r="E90" s="107">
        <v>0.0</v>
      </c>
      <c r="F90" s="107">
        <v>0.333</v>
      </c>
      <c r="G90" s="107">
        <v>0.0</v>
      </c>
      <c r="H90" s="107">
        <v>0.0</v>
      </c>
      <c r="I90" s="107">
        <v>0.0</v>
      </c>
      <c r="J90" s="107">
        <v>0.0</v>
      </c>
      <c r="K90" s="107">
        <v>0.0</v>
      </c>
      <c r="L90" s="107">
        <v>0.0</v>
      </c>
      <c r="M90" s="107">
        <v>0.0</v>
      </c>
      <c r="N90" s="107">
        <v>0.0</v>
      </c>
      <c r="O90" s="107">
        <v>0.333</v>
      </c>
      <c r="P90" s="107">
        <v>0.333</v>
      </c>
      <c r="Q90" s="107">
        <v>1.0</v>
      </c>
      <c r="R90" s="106" t="s">
        <v>169</v>
      </c>
      <c r="S90" s="112">
        <v>1.1</v>
      </c>
      <c r="T90" s="112">
        <v>0.0</v>
      </c>
      <c r="U90" s="112">
        <v>0.0</v>
      </c>
      <c r="V90" s="112">
        <v>0.0</v>
      </c>
      <c r="W90" s="112">
        <v>1.0</v>
      </c>
      <c r="X90" s="112">
        <v>1.0</v>
      </c>
      <c r="Y90" s="112">
        <v>0.0</v>
      </c>
      <c r="Z90" s="112">
        <v>0.0</v>
      </c>
      <c r="AA90" s="114"/>
      <c r="AB90" s="115">
        <v>3.0</v>
      </c>
      <c r="AC90" s="100">
        <v>1.0</v>
      </c>
      <c r="AD90" s="100" t="s">
        <v>46</v>
      </c>
    </row>
    <row r="91">
      <c r="A91" s="106" t="s">
        <v>170</v>
      </c>
      <c r="B91" s="112">
        <v>3.0</v>
      </c>
      <c r="C91" s="112">
        <v>1.0</v>
      </c>
      <c r="D91" s="112">
        <v>2.0</v>
      </c>
      <c r="E91" s="112">
        <v>1.0</v>
      </c>
      <c r="F91" s="112">
        <v>0.667</v>
      </c>
      <c r="G91" s="112">
        <v>1.0</v>
      </c>
      <c r="H91" s="112">
        <v>1.0</v>
      </c>
      <c r="I91" s="112">
        <v>0.0</v>
      </c>
      <c r="J91" s="112">
        <v>0.0</v>
      </c>
      <c r="K91" s="112">
        <v>0.0</v>
      </c>
      <c r="L91" s="112">
        <v>0.0</v>
      </c>
      <c r="M91" s="112">
        <v>0.0</v>
      </c>
      <c r="N91" s="112">
        <v>0.0</v>
      </c>
      <c r="O91" s="112">
        <v>0.667</v>
      </c>
      <c r="P91" s="112">
        <v>1.667</v>
      </c>
      <c r="Q91" s="112">
        <v>1.0</v>
      </c>
      <c r="R91" s="117" t="s">
        <v>99</v>
      </c>
      <c r="S91" s="107">
        <v>7.0</v>
      </c>
      <c r="T91" s="107">
        <v>4.0</v>
      </c>
      <c r="U91" s="107">
        <v>1.0</v>
      </c>
      <c r="V91" s="107">
        <v>1.0</v>
      </c>
      <c r="W91" s="107">
        <v>4.0</v>
      </c>
      <c r="X91" s="107">
        <v>2.0</v>
      </c>
      <c r="Y91" s="107">
        <v>0.0</v>
      </c>
      <c r="Z91" s="107">
        <v>1.0</v>
      </c>
      <c r="AA91" s="109"/>
      <c r="AB91" s="110">
        <v>4.0</v>
      </c>
      <c r="AC91" s="100">
        <v>1.0</v>
      </c>
      <c r="AD91" s="100" t="s">
        <v>49</v>
      </c>
    </row>
    <row r="92">
      <c r="A92" s="106" t="s">
        <v>171</v>
      </c>
      <c r="B92" s="107">
        <v>2.0</v>
      </c>
      <c r="C92" s="107">
        <v>0.0</v>
      </c>
      <c r="D92" s="107">
        <v>1.0</v>
      </c>
      <c r="E92" s="107">
        <v>0.0</v>
      </c>
      <c r="F92" s="107">
        <v>0.5</v>
      </c>
      <c r="G92" s="107">
        <v>0.0</v>
      </c>
      <c r="H92" s="107">
        <v>0.0</v>
      </c>
      <c r="I92" s="107">
        <v>0.0</v>
      </c>
      <c r="J92" s="107">
        <v>1.0</v>
      </c>
      <c r="K92" s="107">
        <v>1.0</v>
      </c>
      <c r="L92" s="107">
        <v>0.0</v>
      </c>
      <c r="M92" s="107">
        <v>0.0</v>
      </c>
      <c r="N92" s="107">
        <v>0.0</v>
      </c>
      <c r="O92" s="107">
        <v>0.667</v>
      </c>
      <c r="P92" s="107">
        <v>0.5</v>
      </c>
      <c r="Q92" s="107">
        <v>0.0</v>
      </c>
      <c r="AB92" s="115">
        <v>5.0</v>
      </c>
      <c r="AC92" s="100">
        <v>1.0</v>
      </c>
      <c r="AD92" s="100" t="s">
        <v>39</v>
      </c>
    </row>
    <row r="93">
      <c r="A93" s="106" t="s">
        <v>172</v>
      </c>
      <c r="B93" s="112">
        <v>3.0</v>
      </c>
      <c r="C93" s="112">
        <v>1.0</v>
      </c>
      <c r="D93" s="112">
        <v>1.0</v>
      </c>
      <c r="E93" s="112">
        <v>1.0</v>
      </c>
      <c r="F93" s="112">
        <v>0.333</v>
      </c>
      <c r="G93" s="112">
        <v>0.0</v>
      </c>
      <c r="H93" s="112">
        <v>0.0</v>
      </c>
      <c r="I93" s="112">
        <v>1.0</v>
      </c>
      <c r="J93" s="112">
        <v>0.0</v>
      </c>
      <c r="K93" s="112">
        <v>1.0</v>
      </c>
      <c r="L93" s="112">
        <v>0.0</v>
      </c>
      <c r="M93" s="112">
        <v>0.0</v>
      </c>
      <c r="N93" s="112">
        <v>0.0</v>
      </c>
      <c r="O93" s="112">
        <v>0.333</v>
      </c>
      <c r="P93" s="112">
        <v>1.333</v>
      </c>
      <c r="Q93" s="112">
        <v>0.0</v>
      </c>
      <c r="AB93" s="110">
        <v>6.0</v>
      </c>
      <c r="AC93" s="100">
        <v>1.0</v>
      </c>
      <c r="AD93" s="100" t="s">
        <v>49</v>
      </c>
    </row>
    <row r="94">
      <c r="A94" s="106" t="s">
        <v>173</v>
      </c>
      <c r="B94" s="107">
        <v>4.0</v>
      </c>
      <c r="C94" s="107">
        <v>0.0</v>
      </c>
      <c r="D94" s="107">
        <v>1.0</v>
      </c>
      <c r="E94" s="107">
        <v>0.0</v>
      </c>
      <c r="F94" s="107">
        <v>0.25</v>
      </c>
      <c r="G94" s="107">
        <v>0.0</v>
      </c>
      <c r="H94" s="107">
        <v>0.0</v>
      </c>
      <c r="I94" s="107">
        <v>0.0</v>
      </c>
      <c r="J94" s="107">
        <v>0.0</v>
      </c>
      <c r="K94" s="107">
        <v>3.0</v>
      </c>
      <c r="L94" s="107">
        <v>0.0</v>
      </c>
      <c r="M94" s="107">
        <v>0.0</v>
      </c>
      <c r="N94" s="107">
        <v>0.0</v>
      </c>
      <c r="O94" s="107">
        <v>0.25</v>
      </c>
      <c r="P94" s="107">
        <v>0.25</v>
      </c>
      <c r="Q94" s="107">
        <v>0.0</v>
      </c>
      <c r="AB94" s="100">
        <v>7.0</v>
      </c>
      <c r="AD94" s="119"/>
    </row>
    <row r="95">
      <c r="A95" s="106" t="s">
        <v>174</v>
      </c>
      <c r="B95" s="112">
        <v>3.0</v>
      </c>
      <c r="C95" s="112">
        <v>0.0</v>
      </c>
      <c r="D95" s="112">
        <v>0.0</v>
      </c>
      <c r="E95" s="112">
        <v>0.0</v>
      </c>
      <c r="F95" s="112">
        <v>0.0</v>
      </c>
      <c r="G95" s="112">
        <v>0.0</v>
      </c>
      <c r="H95" s="112">
        <v>0.0</v>
      </c>
      <c r="I95" s="112">
        <v>0.0</v>
      </c>
      <c r="J95" s="112">
        <v>0.0</v>
      </c>
      <c r="K95" s="112">
        <v>0.0</v>
      </c>
      <c r="L95" s="112">
        <v>0.0</v>
      </c>
      <c r="M95" s="112">
        <v>0.0</v>
      </c>
      <c r="N95" s="112">
        <v>0.0</v>
      </c>
      <c r="O95" s="112">
        <v>0.0</v>
      </c>
      <c r="P95" s="112">
        <v>0.0</v>
      </c>
      <c r="Q95" s="112">
        <v>0.0</v>
      </c>
      <c r="AD95" s="119"/>
    </row>
    <row r="96">
      <c r="A96" s="106" t="s">
        <v>175</v>
      </c>
      <c r="B96" s="107">
        <v>2.0</v>
      </c>
      <c r="C96" s="107">
        <v>0.0</v>
      </c>
      <c r="D96" s="107">
        <v>1.0</v>
      </c>
      <c r="E96" s="107">
        <v>0.0</v>
      </c>
      <c r="F96" s="107">
        <v>0.5</v>
      </c>
      <c r="G96" s="107">
        <v>0.0</v>
      </c>
      <c r="H96" s="107">
        <v>0.0</v>
      </c>
      <c r="I96" s="107">
        <v>0.0</v>
      </c>
      <c r="J96" s="107">
        <v>1.0</v>
      </c>
      <c r="K96" s="107">
        <v>0.0</v>
      </c>
      <c r="L96" s="107">
        <v>0.0</v>
      </c>
      <c r="M96" s="107">
        <v>0.0</v>
      </c>
      <c r="N96" s="107">
        <v>0.0</v>
      </c>
      <c r="O96" s="107">
        <v>0.667</v>
      </c>
      <c r="P96" s="107">
        <v>0.5</v>
      </c>
      <c r="Q96" s="107">
        <v>0.0</v>
      </c>
      <c r="AD96" s="119"/>
    </row>
    <row r="97">
      <c r="A97" s="106" t="s">
        <v>176</v>
      </c>
      <c r="B97" s="112">
        <v>2.0</v>
      </c>
      <c r="C97" s="112">
        <v>0.0</v>
      </c>
      <c r="D97" s="112">
        <v>0.0</v>
      </c>
      <c r="E97" s="112">
        <v>0.0</v>
      </c>
      <c r="F97" s="112">
        <v>0.0</v>
      </c>
      <c r="G97" s="112">
        <v>0.0</v>
      </c>
      <c r="H97" s="112">
        <v>0.0</v>
      </c>
      <c r="I97" s="112">
        <v>0.0</v>
      </c>
      <c r="J97" s="112">
        <v>1.0</v>
      </c>
      <c r="K97" s="112">
        <v>2.0</v>
      </c>
      <c r="L97" s="112">
        <v>0.0</v>
      </c>
      <c r="M97" s="112">
        <v>0.0</v>
      </c>
      <c r="N97" s="112">
        <v>0.0</v>
      </c>
      <c r="O97" s="112">
        <v>0.333</v>
      </c>
      <c r="P97" s="112">
        <v>0.0</v>
      </c>
      <c r="Q97" s="112">
        <v>0.0</v>
      </c>
      <c r="AD97" s="119"/>
    </row>
    <row r="98">
      <c r="A98" s="106" t="s">
        <v>177</v>
      </c>
      <c r="B98" s="107">
        <v>3.0</v>
      </c>
      <c r="C98" s="107">
        <v>0.0</v>
      </c>
      <c r="D98" s="107">
        <v>1.0</v>
      </c>
      <c r="E98" s="107">
        <v>1.0</v>
      </c>
      <c r="F98" s="107">
        <v>0.333</v>
      </c>
      <c r="G98" s="107">
        <v>0.0</v>
      </c>
      <c r="H98" s="107">
        <v>0.0</v>
      </c>
      <c r="I98" s="107">
        <v>0.0</v>
      </c>
      <c r="J98" s="107">
        <v>0.0</v>
      </c>
      <c r="K98" s="107">
        <v>0.0</v>
      </c>
      <c r="L98" s="107">
        <v>0.0</v>
      </c>
      <c r="M98" s="107">
        <v>0.0</v>
      </c>
      <c r="N98" s="107">
        <v>0.0</v>
      </c>
      <c r="O98" s="107">
        <v>0.333</v>
      </c>
      <c r="P98" s="107">
        <v>0.333</v>
      </c>
      <c r="Q98" s="107">
        <v>0.0</v>
      </c>
      <c r="AD98" s="119"/>
    </row>
    <row r="99">
      <c r="A99" s="120" t="s">
        <v>99</v>
      </c>
      <c r="B99" s="112">
        <v>25.0</v>
      </c>
      <c r="C99" s="112">
        <v>3.0</v>
      </c>
      <c r="D99" s="112">
        <v>8.0</v>
      </c>
      <c r="E99" s="112">
        <v>3.0</v>
      </c>
      <c r="F99" s="112">
        <v>0.32</v>
      </c>
      <c r="G99" s="112">
        <v>1.0</v>
      </c>
      <c r="H99" s="112">
        <v>1.0</v>
      </c>
      <c r="I99" s="112">
        <v>1.0</v>
      </c>
      <c r="J99" s="112">
        <v>3.0</v>
      </c>
      <c r="K99" s="112">
        <v>7.0</v>
      </c>
      <c r="L99" s="112">
        <v>0.0</v>
      </c>
      <c r="M99" s="112">
        <v>0.0</v>
      </c>
      <c r="N99" s="112">
        <v>0.0</v>
      </c>
      <c r="O99" s="112">
        <v>0.393</v>
      </c>
      <c r="P99" s="112">
        <v>0.56</v>
      </c>
      <c r="Q99" s="112">
        <v>2.0</v>
      </c>
      <c r="AD99" s="119"/>
    </row>
    <row r="100">
      <c r="A100" s="123"/>
      <c r="AD100" s="119"/>
    </row>
    <row r="101">
      <c r="A101" s="98" t="s">
        <v>84</v>
      </c>
      <c r="Q101" s="99"/>
      <c r="R101" s="101" t="s">
        <v>89</v>
      </c>
      <c r="S101" s="102" t="s">
        <v>61</v>
      </c>
      <c r="T101" s="102" t="s">
        <v>62</v>
      </c>
      <c r="U101" s="102" t="s">
        <v>63</v>
      </c>
      <c r="V101" s="102" t="s">
        <v>64</v>
      </c>
      <c r="W101" s="102" t="s">
        <v>12</v>
      </c>
      <c r="X101" s="102" t="s">
        <v>88</v>
      </c>
      <c r="Y101" s="102" t="s">
        <v>10</v>
      </c>
      <c r="Z101" s="102" t="s">
        <v>70</v>
      </c>
      <c r="AA101" s="103"/>
      <c r="AB101" s="104">
        <v>1.0</v>
      </c>
      <c r="AD101" s="119"/>
    </row>
    <row r="102">
      <c r="A102" s="101" t="s">
        <v>87</v>
      </c>
      <c r="B102" s="102" t="s">
        <v>3</v>
      </c>
      <c r="C102" s="102" t="s">
        <v>63</v>
      </c>
      <c r="D102" s="102" t="s">
        <v>62</v>
      </c>
      <c r="E102" s="102" t="s">
        <v>6</v>
      </c>
      <c r="F102" s="102" t="s">
        <v>18</v>
      </c>
      <c r="G102" s="102" t="s">
        <v>8</v>
      </c>
      <c r="H102" s="102" t="s">
        <v>9</v>
      </c>
      <c r="I102" s="102" t="s">
        <v>10</v>
      </c>
      <c r="J102" s="102" t="s">
        <v>12</v>
      </c>
      <c r="K102" s="102" t="s">
        <v>88</v>
      </c>
      <c r="L102" s="102" t="s">
        <v>15</v>
      </c>
      <c r="M102" s="102" t="s">
        <v>16</v>
      </c>
      <c r="N102" s="102" t="s">
        <v>14</v>
      </c>
      <c r="O102" s="102" t="s">
        <v>19</v>
      </c>
      <c r="P102" s="102" t="s">
        <v>20</v>
      </c>
      <c r="Q102" s="102" t="s">
        <v>11</v>
      </c>
      <c r="R102" s="106" t="s">
        <v>178</v>
      </c>
      <c r="S102" s="107">
        <v>2.1</v>
      </c>
      <c r="T102" s="107">
        <v>0.0</v>
      </c>
      <c r="U102" s="107">
        <v>0.0</v>
      </c>
      <c r="V102" s="107">
        <v>0.0</v>
      </c>
      <c r="W102" s="107">
        <v>1.0</v>
      </c>
      <c r="X102" s="107">
        <v>1.0</v>
      </c>
      <c r="Y102" s="107">
        <v>0.0</v>
      </c>
      <c r="Z102" s="107">
        <v>0.0</v>
      </c>
      <c r="AA102" s="109"/>
      <c r="AB102" s="110">
        <v>2.0</v>
      </c>
      <c r="AC102" s="100">
        <v>1.0</v>
      </c>
      <c r="AD102" s="100" t="s">
        <v>45</v>
      </c>
    </row>
    <row r="103">
      <c r="A103" s="106" t="s">
        <v>179</v>
      </c>
      <c r="B103" s="107">
        <v>3.0</v>
      </c>
      <c r="C103" s="107">
        <v>1.0</v>
      </c>
      <c r="D103" s="107">
        <v>1.0</v>
      </c>
      <c r="E103" s="107">
        <v>0.0</v>
      </c>
      <c r="F103" s="107">
        <v>0.333</v>
      </c>
      <c r="G103" s="107">
        <v>0.0</v>
      </c>
      <c r="H103" s="107">
        <v>0.0</v>
      </c>
      <c r="I103" s="107">
        <v>0.0</v>
      </c>
      <c r="J103" s="107">
        <v>0.0</v>
      </c>
      <c r="K103" s="107">
        <v>1.0</v>
      </c>
      <c r="L103" s="107">
        <v>0.0</v>
      </c>
      <c r="M103" s="107">
        <v>0.0</v>
      </c>
      <c r="N103" s="107">
        <v>0.0</v>
      </c>
      <c r="O103" s="107">
        <v>0.333</v>
      </c>
      <c r="P103" s="107">
        <v>0.333</v>
      </c>
      <c r="Q103" s="107">
        <v>0.0</v>
      </c>
      <c r="R103" s="106" t="s">
        <v>180</v>
      </c>
      <c r="S103" s="112">
        <v>1.1</v>
      </c>
      <c r="T103" s="112">
        <v>6.0</v>
      </c>
      <c r="U103" s="112">
        <v>6.0</v>
      </c>
      <c r="V103" s="112">
        <v>6.0</v>
      </c>
      <c r="W103" s="112">
        <v>2.0</v>
      </c>
      <c r="X103" s="112">
        <v>0.0</v>
      </c>
      <c r="Y103" s="112">
        <v>0.0</v>
      </c>
      <c r="Z103" s="112">
        <v>31.5</v>
      </c>
      <c r="AA103" s="114"/>
      <c r="AB103" s="115">
        <v>3.0</v>
      </c>
      <c r="AD103" s="119"/>
    </row>
    <row r="104">
      <c r="A104" s="106" t="s">
        <v>181</v>
      </c>
      <c r="B104" s="112">
        <v>2.0</v>
      </c>
      <c r="C104" s="112">
        <v>0.0</v>
      </c>
      <c r="D104" s="112">
        <v>0.0</v>
      </c>
      <c r="E104" s="112">
        <v>0.0</v>
      </c>
      <c r="F104" s="112">
        <v>0.0</v>
      </c>
      <c r="G104" s="112">
        <v>0.0</v>
      </c>
      <c r="H104" s="112">
        <v>0.0</v>
      </c>
      <c r="I104" s="112">
        <v>0.0</v>
      </c>
      <c r="J104" s="112">
        <v>0.0</v>
      </c>
      <c r="K104" s="112">
        <v>0.0</v>
      </c>
      <c r="L104" s="112">
        <v>0.0</v>
      </c>
      <c r="M104" s="112">
        <v>0.0</v>
      </c>
      <c r="N104" s="112">
        <v>0.0</v>
      </c>
      <c r="O104" s="112">
        <v>0.0</v>
      </c>
      <c r="P104" s="112">
        <v>0.0</v>
      </c>
      <c r="Q104" s="112">
        <v>0.0</v>
      </c>
      <c r="R104" s="106" t="s">
        <v>182</v>
      </c>
      <c r="S104" s="107">
        <v>3.1</v>
      </c>
      <c r="T104" s="107">
        <v>1.0</v>
      </c>
      <c r="U104" s="107">
        <v>0.0</v>
      </c>
      <c r="V104" s="107">
        <v>0.0</v>
      </c>
      <c r="W104" s="107">
        <v>3.0</v>
      </c>
      <c r="X104" s="107">
        <v>3.0</v>
      </c>
      <c r="Y104" s="107">
        <v>0.0</v>
      </c>
      <c r="Z104" s="107">
        <v>0.0</v>
      </c>
      <c r="AA104" s="109"/>
      <c r="AB104" s="110">
        <v>4.0</v>
      </c>
      <c r="AC104" s="100">
        <v>1.0</v>
      </c>
      <c r="AD104" s="100" t="s">
        <v>40</v>
      </c>
    </row>
    <row r="105">
      <c r="A105" s="106" t="s">
        <v>183</v>
      </c>
      <c r="B105" s="107">
        <v>3.0</v>
      </c>
      <c r="C105" s="107">
        <v>1.0</v>
      </c>
      <c r="D105" s="107">
        <v>1.0</v>
      </c>
      <c r="E105" s="107">
        <v>1.0</v>
      </c>
      <c r="F105" s="107">
        <v>0.333</v>
      </c>
      <c r="G105" s="107">
        <v>0.0</v>
      </c>
      <c r="H105" s="107">
        <v>1.0</v>
      </c>
      <c r="I105" s="107">
        <v>0.0</v>
      </c>
      <c r="J105" s="107">
        <v>1.0</v>
      </c>
      <c r="K105" s="107">
        <v>2.0</v>
      </c>
      <c r="L105" s="107">
        <v>0.0</v>
      </c>
      <c r="M105" s="107">
        <v>0.0</v>
      </c>
      <c r="N105" s="107">
        <v>0.0</v>
      </c>
      <c r="O105" s="107">
        <v>0.5</v>
      </c>
      <c r="P105" s="107">
        <v>1.0</v>
      </c>
      <c r="Q105" s="107">
        <v>1.0</v>
      </c>
      <c r="R105" s="120" t="s">
        <v>99</v>
      </c>
      <c r="S105" s="112">
        <v>7.0</v>
      </c>
      <c r="T105" s="112">
        <v>7.0</v>
      </c>
      <c r="U105" s="112">
        <v>6.0</v>
      </c>
      <c r="V105" s="112">
        <v>6.0</v>
      </c>
      <c r="W105" s="112">
        <v>6.0</v>
      </c>
      <c r="X105" s="112">
        <v>4.0</v>
      </c>
      <c r="Y105" s="112">
        <v>0.0</v>
      </c>
      <c r="Z105" s="112">
        <v>6.0</v>
      </c>
      <c r="AA105" s="114"/>
      <c r="AB105" s="115">
        <v>5.0</v>
      </c>
      <c r="AC105" s="100">
        <v>1.0</v>
      </c>
      <c r="AD105" s="100" t="s">
        <v>39</v>
      </c>
    </row>
    <row r="106">
      <c r="A106" s="106" t="s">
        <v>184</v>
      </c>
      <c r="B106" s="112">
        <v>4.0</v>
      </c>
      <c r="C106" s="112">
        <v>0.0</v>
      </c>
      <c r="D106" s="112">
        <v>0.0</v>
      </c>
      <c r="E106" s="112">
        <v>0.0</v>
      </c>
      <c r="F106" s="112">
        <v>0.0</v>
      </c>
      <c r="G106" s="112">
        <v>0.0</v>
      </c>
      <c r="H106" s="112">
        <v>0.0</v>
      </c>
      <c r="I106" s="112">
        <v>0.0</v>
      </c>
      <c r="J106" s="112">
        <v>0.0</v>
      </c>
      <c r="K106" s="112">
        <v>2.0</v>
      </c>
      <c r="L106" s="112">
        <v>0.0</v>
      </c>
      <c r="M106" s="112">
        <v>0.0</v>
      </c>
      <c r="N106" s="112">
        <v>0.0</v>
      </c>
      <c r="O106" s="112">
        <v>0.0</v>
      </c>
      <c r="P106" s="112">
        <v>0.0</v>
      </c>
      <c r="Q106" s="112">
        <v>0.0</v>
      </c>
      <c r="AB106" s="110">
        <v>6.0</v>
      </c>
      <c r="AC106" s="100">
        <v>1.0</v>
      </c>
      <c r="AD106" s="100" t="s">
        <v>45</v>
      </c>
    </row>
    <row r="107">
      <c r="A107" s="106" t="s">
        <v>185</v>
      </c>
      <c r="B107" s="107">
        <v>3.0</v>
      </c>
      <c r="C107" s="107">
        <v>1.0</v>
      </c>
      <c r="D107" s="107">
        <v>1.0</v>
      </c>
      <c r="E107" s="107">
        <v>2.0</v>
      </c>
      <c r="F107" s="107">
        <v>0.333</v>
      </c>
      <c r="G107" s="107">
        <v>1.0</v>
      </c>
      <c r="H107" s="107">
        <v>0.0</v>
      </c>
      <c r="I107" s="107">
        <v>0.0</v>
      </c>
      <c r="J107" s="107">
        <v>0.0</v>
      </c>
      <c r="K107" s="107">
        <v>1.0</v>
      </c>
      <c r="L107" s="107">
        <v>0.0</v>
      </c>
      <c r="M107" s="107">
        <v>0.0</v>
      </c>
      <c r="N107" s="107">
        <v>0.0</v>
      </c>
      <c r="O107" s="107">
        <v>0.333</v>
      </c>
      <c r="P107" s="107">
        <v>0.667</v>
      </c>
      <c r="Q107" s="107">
        <v>0.0</v>
      </c>
      <c r="AB107" s="100">
        <v>7.0</v>
      </c>
      <c r="AC107" s="100">
        <v>1.0</v>
      </c>
      <c r="AD107" s="100" t="s">
        <v>40</v>
      </c>
    </row>
    <row r="108">
      <c r="A108" s="106" t="s">
        <v>186</v>
      </c>
      <c r="B108" s="112">
        <v>2.0</v>
      </c>
      <c r="C108" s="112">
        <v>0.0</v>
      </c>
      <c r="D108" s="112">
        <v>0.0</v>
      </c>
      <c r="E108" s="112">
        <v>0.0</v>
      </c>
      <c r="F108" s="112">
        <v>0.0</v>
      </c>
      <c r="G108" s="112">
        <v>0.0</v>
      </c>
      <c r="H108" s="112">
        <v>0.0</v>
      </c>
      <c r="I108" s="112">
        <v>0.0</v>
      </c>
      <c r="J108" s="112">
        <v>0.0</v>
      </c>
      <c r="K108" s="112">
        <v>2.0</v>
      </c>
      <c r="L108" s="112">
        <v>0.0</v>
      </c>
      <c r="M108" s="112">
        <v>0.0</v>
      </c>
      <c r="N108" s="112">
        <v>0.0</v>
      </c>
      <c r="O108" s="112">
        <v>0.0</v>
      </c>
      <c r="P108" s="112">
        <v>0.0</v>
      </c>
      <c r="Q108" s="112">
        <v>0.0</v>
      </c>
      <c r="AD108" s="119"/>
    </row>
    <row r="109">
      <c r="A109" s="106" t="s">
        <v>187</v>
      </c>
      <c r="B109" s="107">
        <v>0.0</v>
      </c>
      <c r="C109" s="107">
        <v>1.0</v>
      </c>
      <c r="D109" s="107">
        <v>0.0</v>
      </c>
      <c r="E109" s="107">
        <v>0.0</v>
      </c>
      <c r="F109" s="107">
        <v>0.0</v>
      </c>
      <c r="G109" s="107">
        <v>0.0</v>
      </c>
      <c r="H109" s="107">
        <v>0.0</v>
      </c>
      <c r="I109" s="107">
        <v>0.0</v>
      </c>
      <c r="J109" s="107">
        <v>0.0</v>
      </c>
      <c r="K109" s="107">
        <v>0.0</v>
      </c>
      <c r="L109" s="107">
        <v>0.0</v>
      </c>
      <c r="M109" s="107">
        <v>0.0</v>
      </c>
      <c r="N109" s="107">
        <v>0.0</v>
      </c>
      <c r="O109" s="107">
        <v>0.0</v>
      </c>
      <c r="P109" s="107">
        <v>0.0</v>
      </c>
      <c r="Q109" s="107">
        <v>0.0</v>
      </c>
      <c r="AD109" s="119"/>
    </row>
    <row r="110">
      <c r="A110" s="106" t="s">
        <v>188</v>
      </c>
      <c r="B110" s="112">
        <v>1.0</v>
      </c>
      <c r="C110" s="112">
        <v>1.0</v>
      </c>
      <c r="D110" s="112">
        <v>1.0</v>
      </c>
      <c r="E110" s="112">
        <v>0.0</v>
      </c>
      <c r="F110" s="112">
        <v>1.0</v>
      </c>
      <c r="G110" s="112">
        <v>0.0</v>
      </c>
      <c r="H110" s="112">
        <v>0.0</v>
      </c>
      <c r="I110" s="112">
        <v>0.0</v>
      </c>
      <c r="J110" s="112">
        <v>0.0</v>
      </c>
      <c r="K110" s="112">
        <v>0.0</v>
      </c>
      <c r="L110" s="112">
        <v>0.0</v>
      </c>
      <c r="M110" s="112">
        <v>0.0</v>
      </c>
      <c r="N110" s="112">
        <v>0.0</v>
      </c>
      <c r="O110" s="112">
        <v>1.0</v>
      </c>
      <c r="P110" s="112">
        <v>1.0</v>
      </c>
      <c r="Q110" s="112">
        <v>0.0</v>
      </c>
      <c r="AD110" s="119"/>
    </row>
    <row r="111">
      <c r="A111" s="106" t="s">
        <v>189</v>
      </c>
      <c r="B111" s="107">
        <v>4.0</v>
      </c>
      <c r="C111" s="107">
        <v>0.0</v>
      </c>
      <c r="D111" s="107">
        <v>1.0</v>
      </c>
      <c r="E111" s="107">
        <v>2.0</v>
      </c>
      <c r="F111" s="107">
        <v>0.25</v>
      </c>
      <c r="G111" s="107">
        <v>0.0</v>
      </c>
      <c r="H111" s="107">
        <v>0.0</v>
      </c>
      <c r="I111" s="107">
        <v>0.0</v>
      </c>
      <c r="J111" s="107">
        <v>0.0</v>
      </c>
      <c r="K111" s="107">
        <v>1.0</v>
      </c>
      <c r="L111" s="107">
        <v>0.0</v>
      </c>
      <c r="M111" s="107">
        <v>0.0</v>
      </c>
      <c r="N111" s="107">
        <v>0.0</v>
      </c>
      <c r="O111" s="107">
        <v>0.25</v>
      </c>
      <c r="P111" s="107">
        <v>0.25</v>
      </c>
      <c r="Q111" s="107">
        <v>0.0</v>
      </c>
      <c r="AD111" s="119"/>
    </row>
    <row r="112">
      <c r="A112" s="106" t="s">
        <v>190</v>
      </c>
      <c r="B112" s="112">
        <v>1.0</v>
      </c>
      <c r="C112" s="112">
        <v>0.0</v>
      </c>
      <c r="D112" s="112">
        <v>0.0</v>
      </c>
      <c r="E112" s="112">
        <v>0.0</v>
      </c>
      <c r="F112" s="112">
        <v>0.0</v>
      </c>
      <c r="G112" s="112">
        <v>0.0</v>
      </c>
      <c r="H112" s="112">
        <v>0.0</v>
      </c>
      <c r="I112" s="112">
        <v>0.0</v>
      </c>
      <c r="J112" s="112">
        <v>0.0</v>
      </c>
      <c r="K112" s="112">
        <v>0.0</v>
      </c>
      <c r="L112" s="112">
        <v>0.0</v>
      </c>
      <c r="M112" s="112">
        <v>0.0</v>
      </c>
      <c r="N112" s="112">
        <v>0.0</v>
      </c>
      <c r="O112" s="112">
        <v>0.0</v>
      </c>
      <c r="P112" s="112">
        <v>0.0</v>
      </c>
      <c r="Q112" s="112">
        <v>0.0</v>
      </c>
      <c r="AD112" s="119"/>
    </row>
    <row r="113">
      <c r="A113" s="106" t="s">
        <v>191</v>
      </c>
      <c r="B113" s="107">
        <v>2.0</v>
      </c>
      <c r="C113" s="107">
        <v>1.0</v>
      </c>
      <c r="D113" s="107">
        <v>2.0</v>
      </c>
      <c r="E113" s="107">
        <v>1.0</v>
      </c>
      <c r="F113" s="107">
        <v>1.0</v>
      </c>
      <c r="G113" s="107">
        <v>1.0</v>
      </c>
      <c r="H113" s="107">
        <v>1.0</v>
      </c>
      <c r="I113" s="107">
        <v>0.0</v>
      </c>
      <c r="J113" s="107">
        <v>1.0</v>
      </c>
      <c r="K113" s="107">
        <v>0.0</v>
      </c>
      <c r="L113" s="107">
        <v>0.0</v>
      </c>
      <c r="M113" s="107">
        <v>0.0</v>
      </c>
      <c r="N113" s="107">
        <v>0.0</v>
      </c>
      <c r="O113" s="107">
        <v>1.0</v>
      </c>
      <c r="P113" s="107">
        <v>2.5</v>
      </c>
      <c r="Q113" s="107">
        <v>1.0</v>
      </c>
      <c r="AD113" s="119"/>
    </row>
    <row r="114">
      <c r="A114" s="106" t="s">
        <v>192</v>
      </c>
      <c r="B114" s="112">
        <v>4.0</v>
      </c>
      <c r="C114" s="112">
        <v>0.0</v>
      </c>
      <c r="D114" s="112">
        <v>1.0</v>
      </c>
      <c r="E114" s="112">
        <v>0.0</v>
      </c>
      <c r="F114" s="112">
        <v>0.25</v>
      </c>
      <c r="G114" s="112">
        <v>0.0</v>
      </c>
      <c r="H114" s="112">
        <v>0.0</v>
      </c>
      <c r="I114" s="112">
        <v>0.0</v>
      </c>
      <c r="J114" s="112">
        <v>0.0</v>
      </c>
      <c r="K114" s="112">
        <v>1.0</v>
      </c>
      <c r="L114" s="112">
        <v>0.0</v>
      </c>
      <c r="M114" s="112">
        <v>0.0</v>
      </c>
      <c r="N114" s="112">
        <v>0.0</v>
      </c>
      <c r="O114" s="112">
        <v>0.25</v>
      </c>
      <c r="P114" s="112">
        <v>0.25</v>
      </c>
      <c r="Q114" s="112">
        <v>0.0</v>
      </c>
      <c r="AD114" s="119"/>
    </row>
    <row r="115">
      <c r="A115" s="117" t="s">
        <v>99</v>
      </c>
      <c r="B115" s="107">
        <v>29.0</v>
      </c>
      <c r="C115" s="107">
        <v>6.0</v>
      </c>
      <c r="D115" s="107">
        <v>8.0</v>
      </c>
      <c r="E115" s="107">
        <v>6.0</v>
      </c>
      <c r="F115" s="107">
        <v>0.276</v>
      </c>
      <c r="G115" s="107">
        <v>2.0</v>
      </c>
      <c r="H115" s="107">
        <v>2.0</v>
      </c>
      <c r="I115" s="107">
        <v>0.0</v>
      </c>
      <c r="J115" s="107">
        <v>2.0</v>
      </c>
      <c r="K115" s="107">
        <v>10.0</v>
      </c>
      <c r="L115" s="107">
        <v>0.0</v>
      </c>
      <c r="M115" s="107">
        <v>0.0</v>
      </c>
      <c r="N115" s="107">
        <v>0.0</v>
      </c>
      <c r="O115" s="107">
        <v>0.323</v>
      </c>
      <c r="P115" s="107">
        <v>0.483</v>
      </c>
      <c r="Q115" s="107">
        <v>2.0</v>
      </c>
      <c r="AD115" s="119"/>
    </row>
    <row r="116">
      <c r="A116" s="118"/>
      <c r="AD116" s="119"/>
    </row>
    <row r="117">
      <c r="A117" s="98" t="s">
        <v>84</v>
      </c>
      <c r="Q117" s="99"/>
      <c r="R117" s="101" t="s">
        <v>89</v>
      </c>
      <c r="S117" s="102" t="s">
        <v>61</v>
      </c>
      <c r="T117" s="102" t="s">
        <v>62</v>
      </c>
      <c r="U117" s="102" t="s">
        <v>63</v>
      </c>
      <c r="V117" s="102" t="s">
        <v>64</v>
      </c>
      <c r="W117" s="102" t="s">
        <v>12</v>
      </c>
      <c r="X117" s="102" t="s">
        <v>88</v>
      </c>
      <c r="Y117" s="102" t="s">
        <v>10</v>
      </c>
      <c r="Z117" s="102" t="s">
        <v>70</v>
      </c>
      <c r="AA117" s="103"/>
      <c r="AB117" s="104">
        <v>1.0</v>
      </c>
      <c r="AC117" s="100">
        <v>2.0</v>
      </c>
      <c r="AD117" s="100" t="s">
        <v>38</v>
      </c>
    </row>
    <row r="118">
      <c r="A118" s="101" t="s">
        <v>87</v>
      </c>
      <c r="B118" s="102" t="s">
        <v>3</v>
      </c>
      <c r="C118" s="102" t="s">
        <v>63</v>
      </c>
      <c r="D118" s="102" t="s">
        <v>62</v>
      </c>
      <c r="E118" s="102" t="s">
        <v>6</v>
      </c>
      <c r="F118" s="102" t="s">
        <v>18</v>
      </c>
      <c r="G118" s="102" t="s">
        <v>8</v>
      </c>
      <c r="H118" s="102" t="s">
        <v>9</v>
      </c>
      <c r="I118" s="102" t="s">
        <v>10</v>
      </c>
      <c r="J118" s="102" t="s">
        <v>12</v>
      </c>
      <c r="K118" s="102" t="s">
        <v>88</v>
      </c>
      <c r="L118" s="102" t="s">
        <v>15</v>
      </c>
      <c r="M118" s="102" t="s">
        <v>16</v>
      </c>
      <c r="N118" s="102" t="s">
        <v>14</v>
      </c>
      <c r="O118" s="102" t="s">
        <v>19</v>
      </c>
      <c r="P118" s="102" t="s">
        <v>20</v>
      </c>
      <c r="Q118" s="102" t="s">
        <v>11</v>
      </c>
      <c r="R118" s="106" t="s">
        <v>193</v>
      </c>
      <c r="S118" s="107">
        <v>1.0</v>
      </c>
      <c r="T118" s="107">
        <v>0.0</v>
      </c>
      <c r="U118" s="107">
        <v>0.0</v>
      </c>
      <c r="V118" s="107">
        <v>0.0</v>
      </c>
      <c r="W118" s="107">
        <v>1.0</v>
      </c>
      <c r="X118" s="107">
        <v>1.0</v>
      </c>
      <c r="Y118" s="107">
        <v>0.0</v>
      </c>
      <c r="Z118" s="107">
        <v>0.0</v>
      </c>
      <c r="AA118" s="109"/>
      <c r="AB118" s="110">
        <v>2.0</v>
      </c>
      <c r="AC118" s="100"/>
      <c r="AD118" s="119"/>
    </row>
    <row r="119">
      <c r="A119" s="106" t="s">
        <v>194</v>
      </c>
      <c r="B119" s="107">
        <v>3.0</v>
      </c>
      <c r="C119" s="107">
        <v>1.0</v>
      </c>
      <c r="D119" s="107">
        <v>0.0</v>
      </c>
      <c r="E119" s="107">
        <v>0.0</v>
      </c>
      <c r="F119" s="107">
        <v>0.0</v>
      </c>
      <c r="G119" s="107">
        <v>0.0</v>
      </c>
      <c r="H119" s="107">
        <v>0.0</v>
      </c>
      <c r="I119" s="107">
        <v>0.0</v>
      </c>
      <c r="J119" s="107">
        <v>1.0</v>
      </c>
      <c r="K119" s="107">
        <v>2.0</v>
      </c>
      <c r="L119" s="107">
        <v>0.0</v>
      </c>
      <c r="M119" s="107">
        <v>0.0</v>
      </c>
      <c r="N119" s="107">
        <v>0.0</v>
      </c>
      <c r="O119" s="107">
        <v>0.25</v>
      </c>
      <c r="P119" s="107">
        <v>0.0</v>
      </c>
      <c r="Q119" s="107">
        <v>0.0</v>
      </c>
      <c r="R119" s="106" t="s">
        <v>195</v>
      </c>
      <c r="S119" s="112">
        <v>6.0</v>
      </c>
      <c r="T119" s="112">
        <v>7.0</v>
      </c>
      <c r="U119" s="112">
        <v>4.0</v>
      </c>
      <c r="V119" s="112">
        <v>4.0</v>
      </c>
      <c r="W119" s="112">
        <v>2.0</v>
      </c>
      <c r="X119" s="112">
        <v>10.0</v>
      </c>
      <c r="Y119" s="112">
        <v>0.0</v>
      </c>
      <c r="Z119" s="112">
        <v>4.667</v>
      </c>
      <c r="AA119" s="114"/>
      <c r="AB119" s="115">
        <v>3.0</v>
      </c>
      <c r="AD119" s="119"/>
    </row>
    <row r="120">
      <c r="A120" s="106" t="s">
        <v>196</v>
      </c>
      <c r="B120" s="112">
        <v>3.0</v>
      </c>
      <c r="C120" s="112">
        <v>1.0</v>
      </c>
      <c r="D120" s="112">
        <v>1.0</v>
      </c>
      <c r="E120" s="112">
        <v>2.0</v>
      </c>
      <c r="F120" s="112">
        <v>0.333</v>
      </c>
      <c r="G120" s="112">
        <v>0.0</v>
      </c>
      <c r="H120" s="112">
        <v>0.0</v>
      </c>
      <c r="I120" s="112">
        <v>1.0</v>
      </c>
      <c r="J120" s="112">
        <v>1.0</v>
      </c>
      <c r="K120" s="112">
        <v>1.0</v>
      </c>
      <c r="L120" s="112">
        <v>0.0</v>
      </c>
      <c r="M120" s="112">
        <v>0.0</v>
      </c>
      <c r="N120" s="112">
        <v>0.0</v>
      </c>
      <c r="O120" s="112">
        <v>0.5</v>
      </c>
      <c r="P120" s="112">
        <v>1.333</v>
      </c>
      <c r="Q120" s="112">
        <v>0.0</v>
      </c>
      <c r="R120" s="117" t="s">
        <v>99</v>
      </c>
      <c r="S120" s="107">
        <v>7.0</v>
      </c>
      <c r="T120" s="107">
        <v>7.0</v>
      </c>
      <c r="U120" s="107">
        <v>4.0</v>
      </c>
      <c r="V120" s="107">
        <v>4.0</v>
      </c>
      <c r="W120" s="107">
        <v>3.0</v>
      </c>
      <c r="X120" s="107">
        <v>11.0</v>
      </c>
      <c r="Y120" s="107">
        <v>0.0</v>
      </c>
      <c r="Z120" s="107">
        <v>4.0</v>
      </c>
      <c r="AA120" s="109"/>
      <c r="AB120" s="110">
        <v>4.0</v>
      </c>
      <c r="AD120" s="119"/>
    </row>
    <row r="121">
      <c r="A121" s="106" t="s">
        <v>197</v>
      </c>
      <c r="B121" s="107">
        <v>2.0</v>
      </c>
      <c r="C121" s="107">
        <v>0.0</v>
      </c>
      <c r="D121" s="107">
        <v>1.0</v>
      </c>
      <c r="E121" s="107">
        <v>1.0</v>
      </c>
      <c r="F121" s="107">
        <v>0.5</v>
      </c>
      <c r="G121" s="107">
        <v>0.0</v>
      </c>
      <c r="H121" s="107">
        <v>0.0</v>
      </c>
      <c r="I121" s="107">
        <v>0.0</v>
      </c>
      <c r="J121" s="107">
        <v>1.0</v>
      </c>
      <c r="K121" s="107">
        <v>0.0</v>
      </c>
      <c r="L121" s="107">
        <v>0.0</v>
      </c>
      <c r="M121" s="107">
        <v>0.0</v>
      </c>
      <c r="N121" s="107">
        <v>0.0</v>
      </c>
      <c r="O121" s="107">
        <v>0.667</v>
      </c>
      <c r="P121" s="107">
        <v>0.5</v>
      </c>
      <c r="Q121" s="107">
        <v>1.0</v>
      </c>
      <c r="R121" s="118"/>
      <c r="AB121" s="115">
        <v>5.0</v>
      </c>
      <c r="AC121" s="100">
        <v>1.0</v>
      </c>
      <c r="AD121" s="100" t="s">
        <v>39</v>
      </c>
    </row>
    <row r="122">
      <c r="A122" s="106" t="s">
        <v>198</v>
      </c>
      <c r="B122" s="112">
        <v>2.0</v>
      </c>
      <c r="C122" s="112">
        <v>3.0</v>
      </c>
      <c r="D122" s="112">
        <v>1.0</v>
      </c>
      <c r="E122" s="112">
        <v>0.0</v>
      </c>
      <c r="F122" s="112">
        <v>0.5</v>
      </c>
      <c r="G122" s="112">
        <v>1.0</v>
      </c>
      <c r="H122" s="112">
        <v>0.0</v>
      </c>
      <c r="I122" s="112">
        <v>0.0</v>
      </c>
      <c r="J122" s="112">
        <v>2.0</v>
      </c>
      <c r="K122" s="112">
        <v>0.0</v>
      </c>
      <c r="L122" s="112">
        <v>0.0</v>
      </c>
      <c r="M122" s="112">
        <v>0.0</v>
      </c>
      <c r="N122" s="112">
        <v>0.0</v>
      </c>
      <c r="O122" s="112">
        <v>0.75</v>
      </c>
      <c r="P122" s="112">
        <v>1.0</v>
      </c>
      <c r="Q122" s="112">
        <v>1.0</v>
      </c>
      <c r="AB122" s="110">
        <v>6.0</v>
      </c>
      <c r="AC122" s="100">
        <v>1.0</v>
      </c>
      <c r="AD122" s="100" t="s">
        <v>38</v>
      </c>
    </row>
    <row r="123">
      <c r="A123" s="106" t="s">
        <v>199</v>
      </c>
      <c r="B123" s="107">
        <v>3.0</v>
      </c>
      <c r="C123" s="107">
        <v>2.0</v>
      </c>
      <c r="D123" s="107">
        <v>1.0</v>
      </c>
      <c r="E123" s="107">
        <v>0.0</v>
      </c>
      <c r="F123" s="107">
        <v>0.333</v>
      </c>
      <c r="G123" s="107">
        <v>0.0</v>
      </c>
      <c r="H123" s="107">
        <v>0.0</v>
      </c>
      <c r="I123" s="107">
        <v>0.0</v>
      </c>
      <c r="J123" s="107">
        <v>0.0</v>
      </c>
      <c r="K123" s="107">
        <v>1.0</v>
      </c>
      <c r="L123" s="107">
        <v>0.0</v>
      </c>
      <c r="M123" s="107">
        <v>1.0</v>
      </c>
      <c r="N123" s="107">
        <v>0.0</v>
      </c>
      <c r="O123" s="107">
        <v>0.333</v>
      </c>
      <c r="P123" s="107">
        <v>0.333</v>
      </c>
      <c r="Q123" s="107">
        <v>0.0</v>
      </c>
      <c r="AB123" s="100">
        <v>7.0</v>
      </c>
      <c r="AC123" s="100">
        <v>1.0</v>
      </c>
      <c r="AD123" s="100" t="s">
        <v>44</v>
      </c>
    </row>
    <row r="124">
      <c r="A124" s="106" t="s">
        <v>200</v>
      </c>
      <c r="B124" s="112">
        <v>4.0</v>
      </c>
      <c r="C124" s="112">
        <v>1.0</v>
      </c>
      <c r="D124" s="112">
        <v>1.0</v>
      </c>
      <c r="E124" s="112">
        <v>2.0</v>
      </c>
      <c r="F124" s="112">
        <v>0.25</v>
      </c>
      <c r="G124" s="112">
        <v>0.0</v>
      </c>
      <c r="H124" s="112">
        <v>0.0</v>
      </c>
      <c r="I124" s="112">
        <v>0.0</v>
      </c>
      <c r="J124" s="112">
        <v>0.0</v>
      </c>
      <c r="K124" s="112">
        <v>1.0</v>
      </c>
      <c r="L124" s="112">
        <v>0.0</v>
      </c>
      <c r="M124" s="112">
        <v>0.0</v>
      </c>
      <c r="N124" s="112">
        <v>0.0</v>
      </c>
      <c r="O124" s="112">
        <v>0.25</v>
      </c>
      <c r="P124" s="112">
        <v>0.25</v>
      </c>
      <c r="Q124" s="112">
        <v>1.0</v>
      </c>
      <c r="AD124" s="119"/>
    </row>
    <row r="125">
      <c r="A125" s="106" t="s">
        <v>201</v>
      </c>
      <c r="B125" s="107">
        <v>4.0</v>
      </c>
      <c r="C125" s="107">
        <v>0.0</v>
      </c>
      <c r="D125" s="107">
        <v>1.0</v>
      </c>
      <c r="E125" s="107">
        <v>3.0</v>
      </c>
      <c r="F125" s="107">
        <v>0.25</v>
      </c>
      <c r="G125" s="107">
        <v>1.0</v>
      </c>
      <c r="H125" s="107">
        <v>0.0</v>
      </c>
      <c r="I125" s="107">
        <v>0.0</v>
      </c>
      <c r="J125" s="107">
        <v>0.0</v>
      </c>
      <c r="K125" s="107">
        <v>2.0</v>
      </c>
      <c r="L125" s="107">
        <v>0.0</v>
      </c>
      <c r="M125" s="107">
        <v>0.0</v>
      </c>
      <c r="N125" s="107">
        <v>0.0</v>
      </c>
      <c r="O125" s="107">
        <v>0.25</v>
      </c>
      <c r="P125" s="107">
        <v>0.5</v>
      </c>
      <c r="Q125" s="107">
        <v>0.0</v>
      </c>
      <c r="AD125" s="119"/>
    </row>
    <row r="126">
      <c r="A126" s="106" t="s">
        <v>202</v>
      </c>
      <c r="B126" s="112">
        <v>4.0</v>
      </c>
      <c r="C126" s="112">
        <v>0.0</v>
      </c>
      <c r="D126" s="112">
        <v>1.0</v>
      </c>
      <c r="E126" s="112">
        <v>1.0</v>
      </c>
      <c r="F126" s="112">
        <v>0.25</v>
      </c>
      <c r="G126" s="112">
        <v>0.0</v>
      </c>
      <c r="H126" s="112">
        <v>1.0</v>
      </c>
      <c r="I126" s="112">
        <v>0.0</v>
      </c>
      <c r="J126" s="112">
        <v>0.0</v>
      </c>
      <c r="K126" s="112">
        <v>2.0</v>
      </c>
      <c r="L126" s="112">
        <v>0.0</v>
      </c>
      <c r="M126" s="112">
        <v>0.0</v>
      </c>
      <c r="N126" s="112">
        <v>0.0</v>
      </c>
      <c r="O126" s="112">
        <v>0.25</v>
      </c>
      <c r="P126" s="112">
        <v>0.75</v>
      </c>
      <c r="Q126" s="112">
        <v>0.0</v>
      </c>
      <c r="AD126" s="119"/>
    </row>
    <row r="127">
      <c r="A127" s="106" t="s">
        <v>203</v>
      </c>
      <c r="B127" s="107">
        <v>2.0</v>
      </c>
      <c r="C127" s="107">
        <v>1.0</v>
      </c>
      <c r="D127" s="107">
        <v>0.0</v>
      </c>
      <c r="E127" s="107">
        <v>0.0</v>
      </c>
      <c r="F127" s="107">
        <v>0.0</v>
      </c>
      <c r="G127" s="107">
        <v>0.0</v>
      </c>
      <c r="H127" s="107">
        <v>0.0</v>
      </c>
      <c r="I127" s="107">
        <v>0.0</v>
      </c>
      <c r="J127" s="107">
        <v>2.0</v>
      </c>
      <c r="K127" s="107">
        <v>2.0</v>
      </c>
      <c r="L127" s="107">
        <v>0.0</v>
      </c>
      <c r="M127" s="107">
        <v>0.0</v>
      </c>
      <c r="N127" s="107">
        <v>0.0</v>
      </c>
      <c r="O127" s="107">
        <v>0.5</v>
      </c>
      <c r="P127" s="107">
        <v>0.0</v>
      </c>
      <c r="Q127" s="107">
        <v>0.0</v>
      </c>
      <c r="AD127" s="119"/>
    </row>
    <row r="128">
      <c r="A128" s="120" t="s">
        <v>99</v>
      </c>
      <c r="B128" s="112">
        <v>27.0</v>
      </c>
      <c r="C128" s="112">
        <v>9.0</v>
      </c>
      <c r="D128" s="112">
        <v>7.0</v>
      </c>
      <c r="E128" s="112">
        <v>9.0</v>
      </c>
      <c r="F128" s="112">
        <v>0.259</v>
      </c>
      <c r="G128" s="112">
        <v>2.0</v>
      </c>
      <c r="H128" s="112">
        <v>1.0</v>
      </c>
      <c r="I128" s="112">
        <v>1.0</v>
      </c>
      <c r="J128" s="112">
        <v>7.0</v>
      </c>
      <c r="K128" s="112">
        <v>11.0</v>
      </c>
      <c r="L128" s="112">
        <v>0.0</v>
      </c>
      <c r="M128" s="112">
        <v>1.0</v>
      </c>
      <c r="N128" s="112">
        <v>0.0</v>
      </c>
      <c r="O128" s="112">
        <v>0.412</v>
      </c>
      <c r="P128" s="112">
        <v>0.519</v>
      </c>
      <c r="Q128" s="112">
        <v>3.0</v>
      </c>
      <c r="AD128" s="119"/>
    </row>
    <row r="129">
      <c r="A129" s="118"/>
      <c r="AD129" s="119"/>
    </row>
    <row r="130">
      <c r="A130" s="98" t="s">
        <v>84</v>
      </c>
      <c r="Q130" s="99"/>
      <c r="AD130" s="119"/>
    </row>
    <row r="131">
      <c r="A131" s="101" t="s">
        <v>87</v>
      </c>
      <c r="B131" s="102" t="s">
        <v>3</v>
      </c>
      <c r="C131" s="102" t="s">
        <v>63</v>
      </c>
      <c r="D131" s="102" t="s">
        <v>62</v>
      </c>
      <c r="E131" s="102" t="s">
        <v>6</v>
      </c>
      <c r="F131" s="102" t="s">
        <v>18</v>
      </c>
      <c r="G131" s="102" t="s">
        <v>8</v>
      </c>
      <c r="H131" s="102" t="s">
        <v>9</v>
      </c>
      <c r="I131" s="102" t="s">
        <v>10</v>
      </c>
      <c r="J131" s="102" t="s">
        <v>12</v>
      </c>
      <c r="K131" s="102" t="s">
        <v>88</v>
      </c>
      <c r="L131" s="102" t="s">
        <v>15</v>
      </c>
      <c r="M131" s="102" t="s">
        <v>16</v>
      </c>
      <c r="N131" s="102" t="s">
        <v>14</v>
      </c>
      <c r="O131" s="102" t="s">
        <v>19</v>
      </c>
      <c r="P131" s="102" t="s">
        <v>20</v>
      </c>
      <c r="Q131" s="102" t="s">
        <v>11</v>
      </c>
      <c r="R131" s="101" t="s">
        <v>89</v>
      </c>
      <c r="S131" s="102" t="s">
        <v>61</v>
      </c>
      <c r="T131" s="102" t="s">
        <v>62</v>
      </c>
      <c r="U131" s="102" t="s">
        <v>63</v>
      </c>
      <c r="V131" s="102" t="s">
        <v>64</v>
      </c>
      <c r="W131" s="102" t="s">
        <v>12</v>
      </c>
      <c r="X131" s="102" t="s">
        <v>88</v>
      </c>
      <c r="Y131" s="102" t="s">
        <v>10</v>
      </c>
      <c r="Z131" s="102" t="s">
        <v>70</v>
      </c>
      <c r="AA131" s="103"/>
      <c r="AB131" s="124">
        <v>1.0</v>
      </c>
      <c r="AD131" s="119"/>
    </row>
    <row r="132">
      <c r="A132" s="106" t="s">
        <v>204</v>
      </c>
      <c r="B132" s="107">
        <v>2.0</v>
      </c>
      <c r="C132" s="107">
        <v>2.0</v>
      </c>
      <c r="D132" s="107">
        <v>1.0</v>
      </c>
      <c r="E132" s="107">
        <v>0.0</v>
      </c>
      <c r="F132" s="107">
        <v>0.5</v>
      </c>
      <c r="G132" s="107">
        <v>0.0</v>
      </c>
      <c r="H132" s="107">
        <v>0.0</v>
      </c>
      <c r="I132" s="107">
        <v>0.0</v>
      </c>
      <c r="J132" s="107">
        <v>1.0</v>
      </c>
      <c r="K132" s="107">
        <v>1.0</v>
      </c>
      <c r="L132" s="107">
        <v>0.0</v>
      </c>
      <c r="M132" s="107">
        <v>0.0</v>
      </c>
      <c r="N132" s="107">
        <v>0.0</v>
      </c>
      <c r="O132" s="107">
        <v>0.667</v>
      </c>
      <c r="P132" s="107">
        <v>0.5</v>
      </c>
      <c r="Q132" s="107">
        <v>1.0</v>
      </c>
      <c r="R132" s="106" t="s">
        <v>205</v>
      </c>
      <c r="S132" s="107">
        <v>2.2</v>
      </c>
      <c r="T132" s="107">
        <v>1.0</v>
      </c>
      <c r="U132" s="107">
        <v>0.0</v>
      </c>
      <c r="V132" s="107">
        <v>0.0</v>
      </c>
      <c r="W132" s="107">
        <v>0.0</v>
      </c>
      <c r="X132" s="107">
        <v>2.0</v>
      </c>
      <c r="Y132" s="107">
        <v>0.0</v>
      </c>
      <c r="Z132" s="107">
        <v>0.0</v>
      </c>
      <c r="AA132" s="109"/>
      <c r="AB132" s="125">
        <v>2.0</v>
      </c>
      <c r="AC132" s="100">
        <v>1.0</v>
      </c>
      <c r="AD132" s="100" t="s">
        <v>42</v>
      </c>
    </row>
    <row r="133">
      <c r="A133" s="106" t="s">
        <v>206</v>
      </c>
      <c r="B133" s="112">
        <v>1.0</v>
      </c>
      <c r="C133" s="112">
        <v>1.0</v>
      </c>
      <c r="D133" s="112">
        <v>1.0</v>
      </c>
      <c r="E133" s="112">
        <v>0.0</v>
      </c>
      <c r="F133" s="112">
        <v>1.0</v>
      </c>
      <c r="G133" s="112">
        <v>0.0</v>
      </c>
      <c r="H133" s="112">
        <v>0.0</v>
      </c>
      <c r="I133" s="112">
        <v>0.0</v>
      </c>
      <c r="J133" s="112">
        <v>0.0</v>
      </c>
      <c r="K133" s="112">
        <v>0.0</v>
      </c>
      <c r="L133" s="112">
        <v>0.0</v>
      </c>
      <c r="M133" s="112">
        <v>0.0</v>
      </c>
      <c r="N133" s="112">
        <v>0.0</v>
      </c>
      <c r="O133" s="112">
        <v>1.0</v>
      </c>
      <c r="P133" s="112">
        <v>1.0</v>
      </c>
      <c r="Q133" s="112">
        <v>0.0</v>
      </c>
      <c r="R133" s="106" t="s">
        <v>207</v>
      </c>
      <c r="S133" s="112">
        <v>3.0</v>
      </c>
      <c r="T133" s="112">
        <v>2.0</v>
      </c>
      <c r="U133" s="112">
        <v>3.0</v>
      </c>
      <c r="V133" s="112">
        <v>1.0</v>
      </c>
      <c r="W133" s="112">
        <v>6.0</v>
      </c>
      <c r="X133" s="112">
        <v>1.0</v>
      </c>
      <c r="Y133" s="112">
        <v>0.0</v>
      </c>
      <c r="Z133" s="112">
        <v>2.333</v>
      </c>
      <c r="AA133" s="114"/>
      <c r="AB133" s="126">
        <v>3.0</v>
      </c>
      <c r="AD133" s="119"/>
    </row>
    <row r="134">
      <c r="A134" s="106" t="s">
        <v>208</v>
      </c>
      <c r="B134" s="107">
        <v>4.0</v>
      </c>
      <c r="C134" s="107">
        <v>0.0</v>
      </c>
      <c r="D134" s="107">
        <v>2.0</v>
      </c>
      <c r="E134" s="107">
        <v>2.0</v>
      </c>
      <c r="F134" s="107">
        <v>0.5</v>
      </c>
      <c r="G134" s="107">
        <v>1.0</v>
      </c>
      <c r="H134" s="107">
        <v>0.0</v>
      </c>
      <c r="I134" s="107">
        <v>0.0</v>
      </c>
      <c r="J134" s="107">
        <v>0.0</v>
      </c>
      <c r="K134" s="107">
        <v>1.0</v>
      </c>
      <c r="L134" s="107">
        <v>0.0</v>
      </c>
      <c r="M134" s="107">
        <v>0.0</v>
      </c>
      <c r="N134" s="107">
        <v>0.0</v>
      </c>
      <c r="O134" s="107">
        <v>0.5</v>
      </c>
      <c r="P134" s="107">
        <v>0.75</v>
      </c>
      <c r="Q134" s="107">
        <v>0.0</v>
      </c>
      <c r="R134" s="106" t="s">
        <v>209</v>
      </c>
      <c r="S134" s="107">
        <v>1.1</v>
      </c>
      <c r="T134" s="107">
        <v>2.0</v>
      </c>
      <c r="U134" s="107">
        <v>7.0</v>
      </c>
      <c r="V134" s="107">
        <v>4.0</v>
      </c>
      <c r="W134" s="107">
        <v>4.0</v>
      </c>
      <c r="X134" s="107">
        <v>0.0</v>
      </c>
      <c r="Y134" s="107">
        <v>0.0</v>
      </c>
      <c r="Z134" s="107">
        <v>21.0</v>
      </c>
      <c r="AA134" s="109"/>
      <c r="AB134" s="125">
        <v>4.0</v>
      </c>
      <c r="AD134" s="119"/>
    </row>
    <row r="135">
      <c r="A135" s="106" t="s">
        <v>210</v>
      </c>
      <c r="B135" s="112">
        <v>0.0</v>
      </c>
      <c r="C135" s="112">
        <v>0.0</v>
      </c>
      <c r="D135" s="112">
        <v>0.0</v>
      </c>
      <c r="E135" s="112">
        <v>0.0</v>
      </c>
      <c r="F135" s="112">
        <v>0.0</v>
      </c>
      <c r="G135" s="112">
        <v>0.0</v>
      </c>
      <c r="H135" s="112">
        <v>0.0</v>
      </c>
      <c r="I135" s="112">
        <v>0.0</v>
      </c>
      <c r="J135" s="112">
        <v>1.0</v>
      </c>
      <c r="K135" s="112">
        <v>0.0</v>
      </c>
      <c r="L135" s="112">
        <v>0.0</v>
      </c>
      <c r="M135" s="112">
        <v>0.0</v>
      </c>
      <c r="N135" s="112">
        <v>0.0</v>
      </c>
      <c r="O135" s="112">
        <v>1.0</v>
      </c>
      <c r="P135" s="112">
        <v>0.0</v>
      </c>
      <c r="Q135" s="112">
        <v>0.0</v>
      </c>
      <c r="R135" s="120" t="s">
        <v>99</v>
      </c>
      <c r="S135" s="112">
        <v>7.0</v>
      </c>
      <c r="T135" s="112">
        <v>5.0</v>
      </c>
      <c r="U135" s="112">
        <v>10.0</v>
      </c>
      <c r="V135" s="112">
        <v>5.0</v>
      </c>
      <c r="W135" s="112">
        <v>10.0</v>
      </c>
      <c r="X135" s="112">
        <v>3.0</v>
      </c>
      <c r="Y135" s="112">
        <v>0.0</v>
      </c>
      <c r="Z135" s="112">
        <v>5.0</v>
      </c>
      <c r="AA135" s="114"/>
      <c r="AB135" s="126">
        <v>5.0</v>
      </c>
      <c r="AC135" s="100">
        <v>1.0</v>
      </c>
      <c r="AD135" s="100" t="s">
        <v>38</v>
      </c>
    </row>
    <row r="136">
      <c r="A136" s="106" t="s">
        <v>211</v>
      </c>
      <c r="B136" s="107">
        <v>2.0</v>
      </c>
      <c r="C136" s="107">
        <v>0.0</v>
      </c>
      <c r="D136" s="107">
        <v>0.0</v>
      </c>
      <c r="E136" s="107">
        <v>0.0</v>
      </c>
      <c r="F136" s="107">
        <v>0.0</v>
      </c>
      <c r="G136" s="107">
        <v>0.0</v>
      </c>
      <c r="H136" s="107">
        <v>0.0</v>
      </c>
      <c r="I136" s="107">
        <v>0.0</v>
      </c>
      <c r="J136" s="107">
        <v>0.0</v>
      </c>
      <c r="K136" s="107">
        <v>2.0</v>
      </c>
      <c r="L136" s="107">
        <v>0.0</v>
      </c>
      <c r="M136" s="107">
        <v>0.0</v>
      </c>
      <c r="N136" s="107">
        <v>0.0</v>
      </c>
      <c r="O136" s="107">
        <v>0.0</v>
      </c>
      <c r="P136" s="107">
        <v>0.0</v>
      </c>
      <c r="Q136" s="107">
        <v>0.0</v>
      </c>
      <c r="R136" s="118"/>
      <c r="AB136" s="125">
        <v>6.0</v>
      </c>
      <c r="AC136" s="100">
        <v>1.0</v>
      </c>
      <c r="AD136" s="100" t="s">
        <v>41</v>
      </c>
    </row>
    <row r="137">
      <c r="A137" s="106" t="s">
        <v>212</v>
      </c>
      <c r="B137" s="112">
        <v>0.0</v>
      </c>
      <c r="C137" s="112">
        <v>0.0</v>
      </c>
      <c r="D137" s="112">
        <v>0.0</v>
      </c>
      <c r="E137" s="112">
        <v>1.0</v>
      </c>
      <c r="F137" s="112">
        <v>0.0</v>
      </c>
      <c r="G137" s="112">
        <v>0.0</v>
      </c>
      <c r="H137" s="112">
        <v>0.0</v>
      </c>
      <c r="I137" s="112">
        <v>0.0</v>
      </c>
      <c r="J137" s="112">
        <v>0.0</v>
      </c>
      <c r="K137" s="112">
        <v>0.0</v>
      </c>
      <c r="L137" s="112">
        <v>1.0</v>
      </c>
      <c r="M137" s="112">
        <v>0.0</v>
      </c>
      <c r="N137" s="112">
        <v>0.0</v>
      </c>
      <c r="O137" s="112">
        <v>0.0</v>
      </c>
      <c r="P137" s="112">
        <v>0.0</v>
      </c>
      <c r="Q137" s="112">
        <v>0.0</v>
      </c>
      <c r="AB137" s="127">
        <v>7.0</v>
      </c>
      <c r="AC137" s="100">
        <v>2.0</v>
      </c>
      <c r="AD137" s="100" t="s">
        <v>46</v>
      </c>
    </row>
    <row r="138">
      <c r="A138" s="106" t="s">
        <v>213</v>
      </c>
      <c r="B138" s="107">
        <v>0.0</v>
      </c>
      <c r="C138" s="107">
        <v>1.0</v>
      </c>
      <c r="D138" s="107">
        <v>0.0</v>
      </c>
      <c r="E138" s="107">
        <v>0.0</v>
      </c>
      <c r="F138" s="107">
        <v>0.0</v>
      </c>
      <c r="G138" s="107">
        <v>0.0</v>
      </c>
      <c r="H138" s="107">
        <v>0.0</v>
      </c>
      <c r="I138" s="107">
        <v>0.0</v>
      </c>
      <c r="J138" s="107">
        <v>0.0</v>
      </c>
      <c r="K138" s="107">
        <v>0.0</v>
      </c>
      <c r="L138" s="107">
        <v>0.0</v>
      </c>
      <c r="M138" s="107">
        <v>0.0</v>
      </c>
      <c r="N138" s="107">
        <v>0.0</v>
      </c>
      <c r="O138" s="107">
        <v>0.0</v>
      </c>
      <c r="P138" s="107">
        <v>0.0</v>
      </c>
      <c r="Q138" s="107">
        <v>0.0</v>
      </c>
      <c r="AD138" s="119"/>
    </row>
    <row r="139">
      <c r="A139" s="106" t="s">
        <v>214</v>
      </c>
      <c r="B139" s="112">
        <v>3.0</v>
      </c>
      <c r="C139" s="112">
        <v>0.0</v>
      </c>
      <c r="D139" s="112">
        <v>0.0</v>
      </c>
      <c r="E139" s="112">
        <v>0.0</v>
      </c>
      <c r="F139" s="112">
        <v>0.0</v>
      </c>
      <c r="G139" s="112">
        <v>0.0</v>
      </c>
      <c r="H139" s="112">
        <v>0.0</v>
      </c>
      <c r="I139" s="112">
        <v>0.0</v>
      </c>
      <c r="J139" s="112">
        <v>0.0</v>
      </c>
      <c r="K139" s="112">
        <v>2.0</v>
      </c>
      <c r="L139" s="112">
        <v>0.0</v>
      </c>
      <c r="M139" s="112">
        <v>0.0</v>
      </c>
      <c r="N139" s="112">
        <v>1.0</v>
      </c>
      <c r="O139" s="112">
        <v>0.25</v>
      </c>
      <c r="P139" s="112">
        <v>0.0</v>
      </c>
      <c r="Q139" s="112">
        <v>0.0</v>
      </c>
      <c r="AD139" s="119"/>
    </row>
    <row r="140">
      <c r="A140" s="106" t="s">
        <v>215</v>
      </c>
      <c r="B140" s="107">
        <v>0.0</v>
      </c>
      <c r="C140" s="107">
        <v>1.0</v>
      </c>
      <c r="D140" s="107">
        <v>0.0</v>
      </c>
      <c r="E140" s="107">
        <v>0.0</v>
      </c>
      <c r="F140" s="107">
        <v>0.0</v>
      </c>
      <c r="G140" s="107">
        <v>0.0</v>
      </c>
      <c r="H140" s="107">
        <v>0.0</v>
      </c>
      <c r="I140" s="107">
        <v>0.0</v>
      </c>
      <c r="J140" s="107">
        <v>1.0</v>
      </c>
      <c r="K140" s="107">
        <v>0.0</v>
      </c>
      <c r="L140" s="107">
        <v>0.0</v>
      </c>
      <c r="M140" s="107">
        <v>0.0</v>
      </c>
      <c r="N140" s="107">
        <v>0.0</v>
      </c>
      <c r="O140" s="107">
        <v>1.0</v>
      </c>
      <c r="P140" s="107">
        <v>0.0</v>
      </c>
      <c r="Q140" s="107">
        <v>0.0</v>
      </c>
      <c r="AD140" s="119"/>
    </row>
    <row r="141">
      <c r="A141" s="106" t="s">
        <v>216</v>
      </c>
      <c r="B141" s="112">
        <v>3.0</v>
      </c>
      <c r="C141" s="112">
        <v>1.0</v>
      </c>
      <c r="D141" s="112">
        <v>1.0</v>
      </c>
      <c r="E141" s="112">
        <v>0.0</v>
      </c>
      <c r="F141" s="112">
        <v>0.333</v>
      </c>
      <c r="G141" s="112">
        <v>0.0</v>
      </c>
      <c r="H141" s="112">
        <v>0.0</v>
      </c>
      <c r="I141" s="112">
        <v>0.0</v>
      </c>
      <c r="J141" s="112">
        <v>0.0</v>
      </c>
      <c r="K141" s="112">
        <v>2.0</v>
      </c>
      <c r="L141" s="112">
        <v>0.0</v>
      </c>
      <c r="M141" s="112">
        <v>0.0</v>
      </c>
      <c r="N141" s="112">
        <v>0.0</v>
      </c>
      <c r="O141" s="112">
        <v>0.333</v>
      </c>
      <c r="P141" s="112">
        <v>0.333</v>
      </c>
      <c r="Q141" s="112">
        <v>0.0</v>
      </c>
      <c r="AD141" s="119"/>
    </row>
    <row r="142">
      <c r="A142" s="106" t="s">
        <v>217</v>
      </c>
      <c r="B142" s="107">
        <v>3.0</v>
      </c>
      <c r="C142" s="107">
        <v>1.0</v>
      </c>
      <c r="D142" s="107">
        <v>2.0</v>
      </c>
      <c r="E142" s="107">
        <v>1.0</v>
      </c>
      <c r="F142" s="107">
        <v>0.667</v>
      </c>
      <c r="G142" s="107">
        <v>0.0</v>
      </c>
      <c r="H142" s="107">
        <v>0.0</v>
      </c>
      <c r="I142" s="107">
        <v>0.0</v>
      </c>
      <c r="J142" s="107">
        <v>0.0</v>
      </c>
      <c r="K142" s="107">
        <v>1.0</v>
      </c>
      <c r="L142" s="107">
        <v>0.0</v>
      </c>
      <c r="M142" s="107">
        <v>0.0</v>
      </c>
      <c r="N142" s="107">
        <v>0.0</v>
      </c>
      <c r="O142" s="107">
        <v>0.667</v>
      </c>
      <c r="P142" s="107">
        <v>0.667</v>
      </c>
      <c r="Q142" s="107">
        <v>1.0</v>
      </c>
      <c r="AD142" s="119"/>
    </row>
    <row r="143">
      <c r="A143" s="106" t="s">
        <v>218</v>
      </c>
      <c r="B143" s="112">
        <v>2.0</v>
      </c>
      <c r="C143" s="112">
        <v>0.0</v>
      </c>
      <c r="D143" s="112">
        <v>0.0</v>
      </c>
      <c r="E143" s="112">
        <v>0.0</v>
      </c>
      <c r="F143" s="112">
        <v>0.0</v>
      </c>
      <c r="G143" s="112">
        <v>0.0</v>
      </c>
      <c r="H143" s="112">
        <v>0.0</v>
      </c>
      <c r="I143" s="112">
        <v>0.0</v>
      </c>
      <c r="J143" s="112">
        <v>0.0</v>
      </c>
      <c r="K143" s="112">
        <v>0.0</v>
      </c>
      <c r="L143" s="112">
        <v>0.0</v>
      </c>
      <c r="M143" s="112">
        <v>0.0</v>
      </c>
      <c r="N143" s="112">
        <v>0.0</v>
      </c>
      <c r="O143" s="112">
        <v>0.0</v>
      </c>
      <c r="P143" s="112">
        <v>0.0</v>
      </c>
      <c r="Q143" s="112">
        <v>0.0</v>
      </c>
      <c r="AD143" s="119"/>
    </row>
    <row r="144">
      <c r="A144" s="106" t="s">
        <v>219</v>
      </c>
      <c r="B144" s="107">
        <v>3.0</v>
      </c>
      <c r="C144" s="107">
        <v>0.0</v>
      </c>
      <c r="D144" s="107">
        <v>1.0</v>
      </c>
      <c r="E144" s="107">
        <v>0.0</v>
      </c>
      <c r="F144" s="107">
        <v>0.333</v>
      </c>
      <c r="G144" s="107">
        <v>1.0</v>
      </c>
      <c r="H144" s="107">
        <v>0.0</v>
      </c>
      <c r="I144" s="107">
        <v>0.0</v>
      </c>
      <c r="J144" s="107">
        <v>0.0</v>
      </c>
      <c r="K144" s="107">
        <v>1.0</v>
      </c>
      <c r="L144" s="107">
        <v>0.0</v>
      </c>
      <c r="M144" s="107">
        <v>0.0</v>
      </c>
      <c r="N144" s="107">
        <v>0.0</v>
      </c>
      <c r="O144" s="107">
        <v>0.333</v>
      </c>
      <c r="P144" s="107">
        <v>0.667</v>
      </c>
      <c r="Q144" s="107">
        <v>0.0</v>
      </c>
      <c r="AD144" s="119"/>
    </row>
    <row r="145">
      <c r="A145" s="106" t="s">
        <v>220</v>
      </c>
      <c r="B145" s="112">
        <v>1.0</v>
      </c>
      <c r="C145" s="112">
        <v>0.0</v>
      </c>
      <c r="D145" s="112">
        <v>0.0</v>
      </c>
      <c r="E145" s="112">
        <v>1.0</v>
      </c>
      <c r="F145" s="112">
        <v>0.0</v>
      </c>
      <c r="G145" s="112">
        <v>0.0</v>
      </c>
      <c r="H145" s="112">
        <v>0.0</v>
      </c>
      <c r="I145" s="112">
        <v>0.0</v>
      </c>
      <c r="J145" s="112">
        <v>0.0</v>
      </c>
      <c r="K145" s="112">
        <v>0.0</v>
      </c>
      <c r="L145" s="112">
        <v>0.0</v>
      </c>
      <c r="M145" s="112">
        <v>0.0</v>
      </c>
      <c r="N145" s="112">
        <v>0.0</v>
      </c>
      <c r="O145" s="112">
        <v>0.0</v>
      </c>
      <c r="P145" s="112">
        <v>0.0</v>
      </c>
      <c r="Q145" s="112">
        <v>0.0</v>
      </c>
      <c r="AD145" s="119"/>
    </row>
    <row r="146">
      <c r="A146" s="106" t="s">
        <v>221</v>
      </c>
      <c r="B146" s="107">
        <v>3.0</v>
      </c>
      <c r="C146" s="107">
        <v>0.0</v>
      </c>
      <c r="D146" s="107">
        <v>0.0</v>
      </c>
      <c r="E146" s="107">
        <v>1.0</v>
      </c>
      <c r="F146" s="107">
        <v>0.0</v>
      </c>
      <c r="G146" s="107">
        <v>0.0</v>
      </c>
      <c r="H146" s="107">
        <v>0.0</v>
      </c>
      <c r="I146" s="107">
        <v>0.0</v>
      </c>
      <c r="J146" s="107">
        <v>1.0</v>
      </c>
      <c r="K146" s="107">
        <v>0.0</v>
      </c>
      <c r="L146" s="107">
        <v>0.0</v>
      </c>
      <c r="M146" s="107">
        <v>0.0</v>
      </c>
      <c r="N146" s="107">
        <v>0.0</v>
      </c>
      <c r="O146" s="107">
        <v>0.25</v>
      </c>
      <c r="P146" s="107">
        <v>0.0</v>
      </c>
      <c r="Q146" s="107">
        <v>0.0</v>
      </c>
      <c r="AD146" s="119"/>
    </row>
    <row r="147">
      <c r="A147" s="120" t="s">
        <v>99</v>
      </c>
      <c r="B147" s="112">
        <v>27.0</v>
      </c>
      <c r="C147" s="112">
        <v>7.0</v>
      </c>
      <c r="D147" s="112">
        <v>8.0</v>
      </c>
      <c r="E147" s="112">
        <v>6.0</v>
      </c>
      <c r="F147" s="112">
        <v>0.296</v>
      </c>
      <c r="G147" s="112">
        <v>2.0</v>
      </c>
      <c r="H147" s="112">
        <v>0.0</v>
      </c>
      <c r="I147" s="112">
        <v>0.0</v>
      </c>
      <c r="J147" s="112">
        <v>4.0</v>
      </c>
      <c r="K147" s="112">
        <v>10.0</v>
      </c>
      <c r="L147" s="112">
        <v>1.0</v>
      </c>
      <c r="M147" s="112">
        <v>0.0</v>
      </c>
      <c r="N147" s="112">
        <v>1.0</v>
      </c>
      <c r="O147" s="112">
        <v>0.394</v>
      </c>
      <c r="P147" s="112">
        <v>0.37</v>
      </c>
      <c r="Q147" s="112">
        <v>2.0</v>
      </c>
      <c r="AD147" s="119"/>
    </row>
    <row r="148">
      <c r="A148" s="118"/>
      <c r="AD148" s="119"/>
    </row>
    <row r="149">
      <c r="A149" s="98" t="s">
        <v>84</v>
      </c>
      <c r="Q149" s="99"/>
      <c r="R149" s="101" t="s">
        <v>89</v>
      </c>
      <c r="S149" s="102" t="s">
        <v>61</v>
      </c>
      <c r="T149" s="102" t="s">
        <v>62</v>
      </c>
      <c r="U149" s="102" t="s">
        <v>63</v>
      </c>
      <c r="V149" s="102" t="s">
        <v>64</v>
      </c>
      <c r="W149" s="102" t="s">
        <v>12</v>
      </c>
      <c r="X149" s="102" t="s">
        <v>88</v>
      </c>
      <c r="Y149" s="102" t="s">
        <v>10</v>
      </c>
      <c r="Z149" s="102" t="s">
        <v>70</v>
      </c>
      <c r="AA149" s="103"/>
      <c r="AB149" s="124">
        <v>1.0</v>
      </c>
      <c r="AC149" s="100">
        <v>1.0</v>
      </c>
      <c r="AD149" s="100" t="s">
        <v>40</v>
      </c>
    </row>
    <row r="150">
      <c r="A150" s="101" t="s">
        <v>87</v>
      </c>
      <c r="B150" s="102" t="s">
        <v>3</v>
      </c>
      <c r="C150" s="102" t="s">
        <v>63</v>
      </c>
      <c r="D150" s="102" t="s">
        <v>62</v>
      </c>
      <c r="E150" s="102" t="s">
        <v>6</v>
      </c>
      <c r="F150" s="102" t="s">
        <v>18</v>
      </c>
      <c r="G150" s="102" t="s">
        <v>8</v>
      </c>
      <c r="H150" s="102" t="s">
        <v>9</v>
      </c>
      <c r="I150" s="102" t="s">
        <v>10</v>
      </c>
      <c r="J150" s="102" t="s">
        <v>12</v>
      </c>
      <c r="K150" s="102" t="s">
        <v>88</v>
      </c>
      <c r="L150" s="102" t="s">
        <v>15</v>
      </c>
      <c r="M150" s="102" t="s">
        <v>16</v>
      </c>
      <c r="N150" s="102" t="s">
        <v>14</v>
      </c>
      <c r="O150" s="102" t="s">
        <v>19</v>
      </c>
      <c r="P150" s="102" t="s">
        <v>20</v>
      </c>
      <c r="Q150" s="102" t="s">
        <v>11</v>
      </c>
      <c r="R150" s="106" t="s">
        <v>222</v>
      </c>
      <c r="S150" s="107">
        <v>5.0</v>
      </c>
      <c r="T150" s="107">
        <v>4.0</v>
      </c>
      <c r="U150" s="107">
        <v>2.0</v>
      </c>
      <c r="V150" s="107">
        <v>2.0</v>
      </c>
      <c r="W150" s="107">
        <v>6.0</v>
      </c>
      <c r="X150" s="107">
        <v>5.0</v>
      </c>
      <c r="Y150" s="107">
        <v>0.0</v>
      </c>
      <c r="Z150" s="107">
        <v>2.8</v>
      </c>
      <c r="AA150" s="109"/>
      <c r="AB150" s="125">
        <v>2.0</v>
      </c>
      <c r="AC150" s="100">
        <v>1.0</v>
      </c>
      <c r="AD150" s="100" t="s">
        <v>36</v>
      </c>
    </row>
    <row r="151">
      <c r="A151" s="106" t="s">
        <v>223</v>
      </c>
      <c r="B151" s="107">
        <v>4.0</v>
      </c>
      <c r="C151" s="107">
        <v>1.0</v>
      </c>
      <c r="D151" s="107">
        <v>1.0</v>
      </c>
      <c r="E151" s="107">
        <v>0.0</v>
      </c>
      <c r="F151" s="107">
        <v>0.25</v>
      </c>
      <c r="G151" s="107">
        <v>0.0</v>
      </c>
      <c r="H151" s="107">
        <v>1.0</v>
      </c>
      <c r="I151" s="107">
        <v>0.0</v>
      </c>
      <c r="J151" s="107">
        <v>0.0</v>
      </c>
      <c r="K151" s="107">
        <v>1.0</v>
      </c>
      <c r="L151" s="107">
        <v>0.0</v>
      </c>
      <c r="M151" s="107">
        <v>0.0</v>
      </c>
      <c r="N151" s="107">
        <v>0.0</v>
      </c>
      <c r="O151" s="107">
        <v>0.25</v>
      </c>
      <c r="P151" s="107">
        <v>0.75</v>
      </c>
      <c r="Q151" s="107">
        <v>0.0</v>
      </c>
      <c r="R151" s="106" t="s">
        <v>224</v>
      </c>
      <c r="S151" s="112">
        <v>2.0</v>
      </c>
      <c r="T151" s="112">
        <v>0.0</v>
      </c>
      <c r="U151" s="112">
        <v>0.0</v>
      </c>
      <c r="V151" s="112">
        <v>0.0</v>
      </c>
      <c r="W151" s="112">
        <v>0.0</v>
      </c>
      <c r="X151" s="112">
        <v>2.0</v>
      </c>
      <c r="Y151" s="112">
        <v>0.0</v>
      </c>
      <c r="Z151" s="112">
        <v>0.0</v>
      </c>
      <c r="AA151" s="114"/>
      <c r="AB151" s="126">
        <v>3.0</v>
      </c>
      <c r="AC151" s="100">
        <v>1.0</v>
      </c>
      <c r="AD151" s="100" t="s">
        <v>44</v>
      </c>
    </row>
    <row r="152">
      <c r="A152" s="106" t="s">
        <v>225</v>
      </c>
      <c r="B152" s="112">
        <v>3.0</v>
      </c>
      <c r="C152" s="112">
        <v>0.0</v>
      </c>
      <c r="D152" s="112">
        <v>1.0</v>
      </c>
      <c r="E152" s="112">
        <v>0.0</v>
      </c>
      <c r="F152" s="112">
        <v>0.333</v>
      </c>
      <c r="G152" s="112">
        <v>0.0</v>
      </c>
      <c r="H152" s="112">
        <v>0.0</v>
      </c>
      <c r="I152" s="112">
        <v>0.0</v>
      </c>
      <c r="J152" s="112">
        <v>1.0</v>
      </c>
      <c r="K152" s="112">
        <v>1.0</v>
      </c>
      <c r="L152" s="112">
        <v>0.0</v>
      </c>
      <c r="M152" s="112">
        <v>0.0</v>
      </c>
      <c r="N152" s="112">
        <v>0.0</v>
      </c>
      <c r="O152" s="112">
        <v>0.5</v>
      </c>
      <c r="P152" s="112">
        <v>0.333</v>
      </c>
      <c r="Q152" s="112">
        <v>1.0</v>
      </c>
      <c r="R152" s="117" t="s">
        <v>99</v>
      </c>
      <c r="S152" s="107">
        <v>7.0</v>
      </c>
      <c r="T152" s="107">
        <v>4.0</v>
      </c>
      <c r="U152" s="107">
        <v>2.0</v>
      </c>
      <c r="V152" s="107">
        <v>2.0</v>
      </c>
      <c r="W152" s="107">
        <v>6.0</v>
      </c>
      <c r="X152" s="107">
        <v>7.0</v>
      </c>
      <c r="Y152" s="107">
        <v>0.0</v>
      </c>
      <c r="Z152" s="107">
        <v>2.0</v>
      </c>
      <c r="AA152" s="109"/>
      <c r="AB152" s="125">
        <v>4.0</v>
      </c>
      <c r="AC152" s="100">
        <v>1.0</v>
      </c>
      <c r="AD152" s="100" t="s">
        <v>39</v>
      </c>
    </row>
    <row r="153">
      <c r="A153" s="106" t="s">
        <v>226</v>
      </c>
      <c r="B153" s="107">
        <v>3.0</v>
      </c>
      <c r="C153" s="107">
        <v>1.0</v>
      </c>
      <c r="D153" s="107">
        <v>1.0</v>
      </c>
      <c r="E153" s="107">
        <v>0.0</v>
      </c>
      <c r="F153" s="107">
        <v>0.333</v>
      </c>
      <c r="G153" s="107">
        <v>0.0</v>
      </c>
      <c r="H153" s="107">
        <v>0.0</v>
      </c>
      <c r="I153" s="107">
        <v>0.0</v>
      </c>
      <c r="J153" s="107">
        <v>0.0</v>
      </c>
      <c r="K153" s="107">
        <v>2.0</v>
      </c>
      <c r="L153" s="107">
        <v>0.0</v>
      </c>
      <c r="M153" s="107">
        <v>0.0</v>
      </c>
      <c r="N153" s="107">
        <v>0.0</v>
      </c>
      <c r="O153" s="107">
        <v>0.333</v>
      </c>
      <c r="P153" s="107">
        <v>0.333</v>
      </c>
      <c r="Q153" s="107">
        <v>1.0</v>
      </c>
      <c r="R153" s="118"/>
      <c r="AB153" s="126">
        <v>5.0</v>
      </c>
      <c r="AD153" s="119"/>
    </row>
    <row r="154">
      <c r="A154" s="106" t="s">
        <v>227</v>
      </c>
      <c r="B154" s="112">
        <v>2.0</v>
      </c>
      <c r="C154" s="112">
        <v>1.0</v>
      </c>
      <c r="D154" s="112">
        <v>0.0</v>
      </c>
      <c r="E154" s="112">
        <v>0.0</v>
      </c>
      <c r="F154" s="112">
        <v>0.0</v>
      </c>
      <c r="G154" s="112">
        <v>0.0</v>
      </c>
      <c r="H154" s="112">
        <v>0.0</v>
      </c>
      <c r="I154" s="112">
        <v>0.0</v>
      </c>
      <c r="J154" s="112">
        <v>1.0</v>
      </c>
      <c r="K154" s="112">
        <v>1.0</v>
      </c>
      <c r="L154" s="112">
        <v>0.0</v>
      </c>
      <c r="M154" s="112">
        <v>0.0</v>
      </c>
      <c r="N154" s="112">
        <v>0.0</v>
      </c>
      <c r="O154" s="112">
        <v>0.333</v>
      </c>
      <c r="P154" s="112">
        <v>0.0</v>
      </c>
      <c r="Q154" s="112">
        <v>0.0</v>
      </c>
      <c r="AB154" s="125">
        <v>6.0</v>
      </c>
      <c r="AC154" s="100">
        <v>2.0</v>
      </c>
      <c r="AD154" s="100" t="s">
        <v>38</v>
      </c>
    </row>
    <row r="155">
      <c r="A155" s="106" t="s">
        <v>228</v>
      </c>
      <c r="B155" s="107">
        <v>4.0</v>
      </c>
      <c r="C155" s="107">
        <v>2.0</v>
      </c>
      <c r="D155" s="107">
        <v>3.0</v>
      </c>
      <c r="E155" s="107">
        <v>1.0</v>
      </c>
      <c r="F155" s="107">
        <v>0.75</v>
      </c>
      <c r="G155" s="107">
        <v>1.0</v>
      </c>
      <c r="H155" s="107">
        <v>0.0</v>
      </c>
      <c r="I155" s="107">
        <v>0.0</v>
      </c>
      <c r="J155" s="107">
        <v>0.0</v>
      </c>
      <c r="K155" s="107">
        <v>0.0</v>
      </c>
      <c r="L155" s="107">
        <v>0.0</v>
      </c>
      <c r="M155" s="107">
        <v>0.0</v>
      </c>
      <c r="N155" s="107">
        <v>0.0</v>
      </c>
      <c r="O155" s="107">
        <v>0.75</v>
      </c>
      <c r="P155" s="107">
        <v>1.0</v>
      </c>
      <c r="Q155" s="107">
        <v>1.0</v>
      </c>
      <c r="AB155" s="127">
        <v>7.0</v>
      </c>
      <c r="AD155" s="119"/>
    </row>
    <row r="156">
      <c r="A156" s="106" t="s">
        <v>229</v>
      </c>
      <c r="B156" s="112">
        <v>4.0</v>
      </c>
      <c r="C156" s="112">
        <v>2.0</v>
      </c>
      <c r="D156" s="112">
        <v>3.0</v>
      </c>
      <c r="E156" s="112">
        <v>2.0</v>
      </c>
      <c r="F156" s="112">
        <v>0.75</v>
      </c>
      <c r="G156" s="112">
        <v>1.0</v>
      </c>
      <c r="H156" s="112">
        <v>0.0</v>
      </c>
      <c r="I156" s="112">
        <v>1.0</v>
      </c>
      <c r="J156" s="112">
        <v>0.0</v>
      </c>
      <c r="K156" s="112">
        <v>0.0</v>
      </c>
      <c r="L156" s="112">
        <v>0.0</v>
      </c>
      <c r="M156" s="112">
        <v>0.0</v>
      </c>
      <c r="N156" s="112">
        <v>0.0</v>
      </c>
      <c r="O156" s="112">
        <v>0.75</v>
      </c>
      <c r="P156" s="112">
        <v>1.75</v>
      </c>
      <c r="Q156" s="112">
        <v>1.0</v>
      </c>
      <c r="AD156" s="119"/>
    </row>
    <row r="157">
      <c r="A157" s="106" t="s">
        <v>230</v>
      </c>
      <c r="B157" s="107">
        <v>3.0</v>
      </c>
      <c r="C157" s="107">
        <v>0.0</v>
      </c>
      <c r="D157" s="107">
        <v>0.0</v>
      </c>
      <c r="E157" s="107">
        <v>0.0</v>
      </c>
      <c r="F157" s="107">
        <v>0.0</v>
      </c>
      <c r="G157" s="107">
        <v>0.0</v>
      </c>
      <c r="H157" s="107">
        <v>0.0</v>
      </c>
      <c r="I157" s="107">
        <v>0.0</v>
      </c>
      <c r="J157" s="107">
        <v>0.0</v>
      </c>
      <c r="K157" s="107">
        <v>1.0</v>
      </c>
      <c r="L157" s="107">
        <v>0.0</v>
      </c>
      <c r="M157" s="107">
        <v>0.0</v>
      </c>
      <c r="N157" s="107">
        <v>0.0</v>
      </c>
      <c r="O157" s="107">
        <v>0.0</v>
      </c>
      <c r="P157" s="107">
        <v>0.0</v>
      </c>
      <c r="Q157" s="107">
        <v>0.0</v>
      </c>
      <c r="AD157" s="119"/>
    </row>
    <row r="158">
      <c r="A158" s="106" t="s">
        <v>231</v>
      </c>
      <c r="B158" s="112">
        <v>2.0</v>
      </c>
      <c r="C158" s="112">
        <v>0.0</v>
      </c>
      <c r="D158" s="112">
        <v>0.0</v>
      </c>
      <c r="E158" s="112">
        <v>0.0</v>
      </c>
      <c r="F158" s="112">
        <v>0.0</v>
      </c>
      <c r="G158" s="112">
        <v>0.0</v>
      </c>
      <c r="H158" s="112">
        <v>0.0</v>
      </c>
      <c r="I158" s="112">
        <v>0.0</v>
      </c>
      <c r="J158" s="112">
        <v>1.0</v>
      </c>
      <c r="K158" s="112">
        <v>2.0</v>
      </c>
      <c r="L158" s="112">
        <v>0.0</v>
      </c>
      <c r="M158" s="112">
        <v>0.0</v>
      </c>
      <c r="N158" s="112">
        <v>0.0</v>
      </c>
      <c r="O158" s="112">
        <v>0.333</v>
      </c>
      <c r="P158" s="112">
        <v>0.0</v>
      </c>
      <c r="Q158" s="112">
        <v>1.0</v>
      </c>
      <c r="AD158" s="119"/>
    </row>
    <row r="159">
      <c r="A159" s="106" t="s">
        <v>232</v>
      </c>
      <c r="B159" s="107">
        <v>4.0</v>
      </c>
      <c r="C159" s="107">
        <v>1.0</v>
      </c>
      <c r="D159" s="107">
        <v>3.0</v>
      </c>
      <c r="E159" s="107">
        <v>3.0</v>
      </c>
      <c r="F159" s="107">
        <v>0.75</v>
      </c>
      <c r="G159" s="107">
        <v>1.0</v>
      </c>
      <c r="H159" s="107">
        <v>1.0</v>
      </c>
      <c r="I159" s="107">
        <v>0.0</v>
      </c>
      <c r="J159" s="107">
        <v>0.0</v>
      </c>
      <c r="K159" s="107">
        <v>0.0</v>
      </c>
      <c r="L159" s="107">
        <v>0.0</v>
      </c>
      <c r="M159" s="107">
        <v>0.0</v>
      </c>
      <c r="N159" s="107">
        <v>0.0</v>
      </c>
      <c r="O159" s="107">
        <v>0.75</v>
      </c>
      <c r="P159" s="107">
        <v>1.5</v>
      </c>
      <c r="Q159" s="107">
        <v>0.0</v>
      </c>
      <c r="AD159" s="119"/>
    </row>
    <row r="160">
      <c r="A160" s="120" t="s">
        <v>99</v>
      </c>
      <c r="B160" s="112">
        <v>29.0</v>
      </c>
      <c r="C160" s="112">
        <v>8.0</v>
      </c>
      <c r="D160" s="112">
        <v>12.0</v>
      </c>
      <c r="E160" s="112">
        <v>6.0</v>
      </c>
      <c r="F160" s="112">
        <v>0.414</v>
      </c>
      <c r="G160" s="112">
        <v>3.0</v>
      </c>
      <c r="H160" s="112">
        <v>2.0</v>
      </c>
      <c r="I160" s="112">
        <v>1.0</v>
      </c>
      <c r="J160" s="112">
        <v>3.0</v>
      </c>
      <c r="K160" s="112">
        <v>8.0</v>
      </c>
      <c r="L160" s="112">
        <v>0.0</v>
      </c>
      <c r="M160" s="112">
        <v>0.0</v>
      </c>
      <c r="N160" s="112">
        <v>0.0</v>
      </c>
      <c r="O160" s="112">
        <v>0.469</v>
      </c>
      <c r="P160" s="112">
        <v>0.759</v>
      </c>
      <c r="Q160" s="112">
        <v>5.0</v>
      </c>
      <c r="AD160" s="119"/>
    </row>
    <row r="161">
      <c r="A161" s="118"/>
      <c r="AD161" s="119"/>
    </row>
    <row r="162">
      <c r="A162" s="98" t="s">
        <v>84</v>
      </c>
      <c r="Q162" s="99"/>
      <c r="AD162" s="119"/>
    </row>
    <row r="163">
      <c r="A163" s="101" t="s">
        <v>87</v>
      </c>
      <c r="B163" s="102" t="s">
        <v>3</v>
      </c>
      <c r="C163" s="102" t="s">
        <v>63</v>
      </c>
      <c r="D163" s="102" t="s">
        <v>62</v>
      </c>
      <c r="E163" s="102" t="s">
        <v>6</v>
      </c>
      <c r="F163" s="102" t="s">
        <v>18</v>
      </c>
      <c r="G163" s="102" t="s">
        <v>8</v>
      </c>
      <c r="H163" s="102" t="s">
        <v>9</v>
      </c>
      <c r="I163" s="102" t="s">
        <v>10</v>
      </c>
      <c r="J163" s="102" t="s">
        <v>12</v>
      </c>
      <c r="K163" s="102" t="s">
        <v>88</v>
      </c>
      <c r="L163" s="102" t="s">
        <v>15</v>
      </c>
      <c r="M163" s="102" t="s">
        <v>16</v>
      </c>
      <c r="N163" s="102" t="s">
        <v>14</v>
      </c>
      <c r="O163" s="102" t="s">
        <v>19</v>
      </c>
      <c r="P163" s="102" t="s">
        <v>20</v>
      </c>
      <c r="Q163" s="102" t="s">
        <v>11</v>
      </c>
      <c r="R163" s="101" t="s">
        <v>89</v>
      </c>
      <c r="S163" s="102" t="s">
        <v>61</v>
      </c>
      <c r="T163" s="102" t="s">
        <v>62</v>
      </c>
      <c r="U163" s="102" t="s">
        <v>63</v>
      </c>
      <c r="V163" s="102" t="s">
        <v>64</v>
      </c>
      <c r="W163" s="102" t="s">
        <v>12</v>
      </c>
      <c r="X163" s="102" t="s">
        <v>88</v>
      </c>
      <c r="Y163" s="102" t="s">
        <v>10</v>
      </c>
      <c r="Z163" s="102" t="s">
        <v>70</v>
      </c>
      <c r="AA163" s="103"/>
      <c r="AB163" s="124">
        <v>1.0</v>
      </c>
      <c r="AD163" s="119"/>
    </row>
    <row r="164">
      <c r="A164" s="106" t="s">
        <v>233</v>
      </c>
      <c r="B164" s="107">
        <v>3.0</v>
      </c>
      <c r="C164" s="107">
        <v>1.0</v>
      </c>
      <c r="D164" s="107">
        <v>1.0</v>
      </c>
      <c r="E164" s="107">
        <v>0.0</v>
      </c>
      <c r="F164" s="107">
        <v>0.333</v>
      </c>
      <c r="G164" s="107">
        <v>0.0</v>
      </c>
      <c r="H164" s="107">
        <v>0.0</v>
      </c>
      <c r="I164" s="107">
        <v>0.0</v>
      </c>
      <c r="J164" s="107">
        <v>1.0</v>
      </c>
      <c r="K164" s="107">
        <v>0.0</v>
      </c>
      <c r="L164" s="107">
        <v>0.0</v>
      </c>
      <c r="M164" s="107">
        <v>0.0</v>
      </c>
      <c r="N164" s="107">
        <v>0.0</v>
      </c>
      <c r="O164" s="107">
        <v>0.5</v>
      </c>
      <c r="P164" s="107">
        <v>0.333</v>
      </c>
      <c r="Q164" s="107">
        <v>2.0</v>
      </c>
      <c r="R164" s="106" t="s">
        <v>234</v>
      </c>
      <c r="S164" s="107">
        <v>1.0</v>
      </c>
      <c r="T164" s="107">
        <v>2.0</v>
      </c>
      <c r="U164" s="107">
        <v>3.0</v>
      </c>
      <c r="V164" s="107">
        <v>3.0</v>
      </c>
      <c r="W164" s="107">
        <v>2.0</v>
      </c>
      <c r="X164" s="107">
        <v>1.0</v>
      </c>
      <c r="Y164" s="107">
        <v>0.0</v>
      </c>
      <c r="Z164" s="107">
        <v>21.0</v>
      </c>
      <c r="AA164" s="109"/>
      <c r="AB164" s="125">
        <v>2.0</v>
      </c>
      <c r="AC164" s="100">
        <v>3.0</v>
      </c>
      <c r="AD164" s="100" t="s">
        <v>49</v>
      </c>
    </row>
    <row r="165">
      <c r="A165" s="106" t="s">
        <v>235</v>
      </c>
      <c r="B165" s="112">
        <v>4.0</v>
      </c>
      <c r="C165" s="112">
        <v>0.0</v>
      </c>
      <c r="D165" s="112">
        <v>0.0</v>
      </c>
      <c r="E165" s="112">
        <v>0.0</v>
      </c>
      <c r="F165" s="112">
        <v>0.0</v>
      </c>
      <c r="G165" s="112">
        <v>0.0</v>
      </c>
      <c r="H165" s="112">
        <v>0.0</v>
      </c>
      <c r="I165" s="112">
        <v>0.0</v>
      </c>
      <c r="J165" s="112">
        <v>0.0</v>
      </c>
      <c r="K165" s="112">
        <v>3.0</v>
      </c>
      <c r="L165" s="112">
        <v>0.0</v>
      </c>
      <c r="M165" s="112">
        <v>0.0</v>
      </c>
      <c r="N165" s="112">
        <v>0.0</v>
      </c>
      <c r="O165" s="112">
        <v>0.0</v>
      </c>
      <c r="P165" s="112">
        <v>0.0</v>
      </c>
      <c r="Q165" s="112">
        <v>0.0</v>
      </c>
      <c r="R165" s="106" t="s">
        <v>236</v>
      </c>
      <c r="S165" s="112">
        <v>5.0</v>
      </c>
      <c r="T165" s="112">
        <v>5.0</v>
      </c>
      <c r="U165" s="112">
        <v>2.0</v>
      </c>
      <c r="V165" s="112">
        <v>2.0</v>
      </c>
      <c r="W165" s="112">
        <v>4.0</v>
      </c>
      <c r="X165" s="112">
        <v>5.0</v>
      </c>
      <c r="Y165" s="112">
        <v>0.0</v>
      </c>
      <c r="Z165" s="112">
        <v>2.8</v>
      </c>
      <c r="AA165" s="114"/>
      <c r="AB165" s="126">
        <v>3.0</v>
      </c>
      <c r="AD165" s="119"/>
    </row>
    <row r="166">
      <c r="A166" s="106" t="s">
        <v>237</v>
      </c>
      <c r="B166" s="107">
        <v>2.0</v>
      </c>
      <c r="C166" s="107">
        <v>2.0</v>
      </c>
      <c r="D166" s="107">
        <v>0.0</v>
      </c>
      <c r="E166" s="107">
        <v>0.0</v>
      </c>
      <c r="F166" s="107">
        <v>0.0</v>
      </c>
      <c r="G166" s="107">
        <v>0.0</v>
      </c>
      <c r="H166" s="107">
        <v>0.0</v>
      </c>
      <c r="I166" s="107">
        <v>0.0</v>
      </c>
      <c r="J166" s="107">
        <v>1.0</v>
      </c>
      <c r="K166" s="107">
        <v>1.0</v>
      </c>
      <c r="L166" s="107">
        <v>0.0</v>
      </c>
      <c r="M166" s="107">
        <v>0.0</v>
      </c>
      <c r="N166" s="107">
        <v>1.0</v>
      </c>
      <c r="O166" s="107">
        <v>0.5</v>
      </c>
      <c r="P166" s="107">
        <v>0.0</v>
      </c>
      <c r="Q166" s="107">
        <v>2.0</v>
      </c>
      <c r="R166" s="106" t="s">
        <v>238</v>
      </c>
      <c r="S166" s="107">
        <v>0.2</v>
      </c>
      <c r="T166" s="107">
        <v>2.0</v>
      </c>
      <c r="U166" s="107">
        <v>3.0</v>
      </c>
      <c r="V166" s="107">
        <v>3.0</v>
      </c>
      <c r="W166" s="107">
        <v>2.0</v>
      </c>
      <c r="X166" s="107">
        <v>1.0</v>
      </c>
      <c r="Y166" s="107">
        <v>0.0</v>
      </c>
      <c r="Z166" s="107">
        <v>31.5</v>
      </c>
      <c r="AA166" s="109"/>
      <c r="AB166" s="125">
        <v>4.0</v>
      </c>
      <c r="AC166" s="100">
        <v>2.0</v>
      </c>
      <c r="AD166" s="100" t="s">
        <v>38</v>
      </c>
    </row>
    <row r="167">
      <c r="A167" s="106" t="s">
        <v>239</v>
      </c>
      <c r="B167" s="112">
        <v>4.0</v>
      </c>
      <c r="C167" s="112">
        <v>1.0</v>
      </c>
      <c r="D167" s="112">
        <v>1.0</v>
      </c>
      <c r="E167" s="112">
        <v>0.0</v>
      </c>
      <c r="F167" s="112">
        <v>0.25</v>
      </c>
      <c r="G167" s="112">
        <v>0.0</v>
      </c>
      <c r="H167" s="112">
        <v>0.0</v>
      </c>
      <c r="I167" s="112">
        <v>0.0</v>
      </c>
      <c r="J167" s="112">
        <v>0.0</v>
      </c>
      <c r="K167" s="112">
        <v>1.0</v>
      </c>
      <c r="L167" s="112">
        <v>0.0</v>
      </c>
      <c r="M167" s="112">
        <v>0.0</v>
      </c>
      <c r="N167" s="112">
        <v>0.0</v>
      </c>
      <c r="O167" s="112">
        <v>0.25</v>
      </c>
      <c r="P167" s="112">
        <v>0.25</v>
      </c>
      <c r="Q167" s="112">
        <v>2.0</v>
      </c>
      <c r="R167" s="120" t="s">
        <v>99</v>
      </c>
      <c r="S167" s="112">
        <v>6.2</v>
      </c>
      <c r="T167" s="112">
        <v>9.0</v>
      </c>
      <c r="U167" s="112">
        <v>8.0</v>
      </c>
      <c r="V167" s="112">
        <v>8.0</v>
      </c>
      <c r="W167" s="112">
        <v>8.0</v>
      </c>
      <c r="X167" s="112">
        <v>7.0</v>
      </c>
      <c r="Y167" s="112">
        <v>0.0</v>
      </c>
      <c r="Z167" s="112">
        <v>8.4</v>
      </c>
      <c r="AA167" s="114"/>
      <c r="AB167" s="126">
        <v>5.0</v>
      </c>
      <c r="AC167" s="100">
        <v>1.0</v>
      </c>
      <c r="AD167" s="100" t="s">
        <v>49</v>
      </c>
    </row>
    <row r="168">
      <c r="A168" s="106" t="s">
        <v>240</v>
      </c>
      <c r="B168" s="107">
        <v>4.0</v>
      </c>
      <c r="C168" s="107">
        <v>1.0</v>
      </c>
      <c r="D168" s="107">
        <v>1.0</v>
      </c>
      <c r="E168" s="107">
        <v>0.0</v>
      </c>
      <c r="F168" s="107">
        <v>0.25</v>
      </c>
      <c r="G168" s="107">
        <v>0.0</v>
      </c>
      <c r="H168" s="107">
        <v>0.0</v>
      </c>
      <c r="I168" s="107">
        <v>0.0</v>
      </c>
      <c r="J168" s="107">
        <v>0.0</v>
      </c>
      <c r="K168" s="107">
        <v>3.0</v>
      </c>
      <c r="L168" s="107">
        <v>0.0</v>
      </c>
      <c r="M168" s="107">
        <v>0.0</v>
      </c>
      <c r="N168" s="107">
        <v>0.0</v>
      </c>
      <c r="O168" s="107">
        <v>0.25</v>
      </c>
      <c r="P168" s="107">
        <v>0.25</v>
      </c>
      <c r="Q168" s="107">
        <v>0.0</v>
      </c>
      <c r="R168" s="118"/>
      <c r="AB168" s="125">
        <v>6.0</v>
      </c>
      <c r="AC168" s="100">
        <v>1.0</v>
      </c>
      <c r="AD168" s="100" t="s">
        <v>39</v>
      </c>
    </row>
    <row r="169">
      <c r="A169" s="106" t="s">
        <v>241</v>
      </c>
      <c r="B169" s="112">
        <v>3.0</v>
      </c>
      <c r="C169" s="112">
        <v>0.0</v>
      </c>
      <c r="D169" s="112">
        <v>1.0</v>
      </c>
      <c r="E169" s="112">
        <v>2.0</v>
      </c>
      <c r="F169" s="112">
        <v>0.333</v>
      </c>
      <c r="G169" s="112">
        <v>0.0</v>
      </c>
      <c r="H169" s="112">
        <v>0.0</v>
      </c>
      <c r="I169" s="112">
        <v>0.0</v>
      </c>
      <c r="J169" s="112">
        <v>1.0</v>
      </c>
      <c r="K169" s="112">
        <v>0.0</v>
      </c>
      <c r="L169" s="112">
        <v>0.0</v>
      </c>
      <c r="M169" s="112">
        <v>0.0</v>
      </c>
      <c r="N169" s="112">
        <v>0.0</v>
      </c>
      <c r="O169" s="112">
        <v>0.5</v>
      </c>
      <c r="P169" s="112">
        <v>0.333</v>
      </c>
      <c r="Q169" s="112">
        <v>1.0</v>
      </c>
      <c r="AB169" s="127">
        <v>7.0</v>
      </c>
      <c r="AC169" s="100">
        <v>1.0</v>
      </c>
      <c r="AD169" s="100" t="s">
        <v>36</v>
      </c>
    </row>
    <row r="170">
      <c r="A170" s="106" t="s">
        <v>242</v>
      </c>
      <c r="B170" s="108">
        <v>4.0</v>
      </c>
      <c r="C170" s="107">
        <v>0.0</v>
      </c>
      <c r="D170" s="107">
        <v>1.0</v>
      </c>
      <c r="E170" s="107">
        <v>0.0</v>
      </c>
      <c r="F170" s="107">
        <v>0.333</v>
      </c>
      <c r="G170" s="107">
        <v>0.0</v>
      </c>
      <c r="H170" s="107">
        <v>0.0</v>
      </c>
      <c r="I170" s="107">
        <v>0.0</v>
      </c>
      <c r="J170" s="107">
        <v>0.0</v>
      </c>
      <c r="K170" s="107">
        <v>1.0</v>
      </c>
      <c r="L170" s="107">
        <v>0.0</v>
      </c>
      <c r="M170" s="107">
        <v>0.0</v>
      </c>
      <c r="N170" s="107">
        <v>0.0</v>
      </c>
      <c r="O170" s="107">
        <v>0.333</v>
      </c>
      <c r="P170" s="107">
        <v>0.333</v>
      </c>
      <c r="Q170" s="107">
        <v>0.0</v>
      </c>
      <c r="AD170" s="119"/>
    </row>
    <row r="171">
      <c r="A171" s="106" t="s">
        <v>243</v>
      </c>
      <c r="B171" s="112">
        <v>1.0</v>
      </c>
      <c r="C171" s="112">
        <v>1.0</v>
      </c>
      <c r="D171" s="112">
        <v>0.0</v>
      </c>
      <c r="E171" s="112">
        <v>0.0</v>
      </c>
      <c r="F171" s="112">
        <v>0.0</v>
      </c>
      <c r="G171" s="112">
        <v>0.0</v>
      </c>
      <c r="H171" s="112">
        <v>0.0</v>
      </c>
      <c r="I171" s="112">
        <v>0.0</v>
      </c>
      <c r="J171" s="112">
        <v>3.0</v>
      </c>
      <c r="K171" s="112">
        <v>1.0</v>
      </c>
      <c r="L171" s="112">
        <v>0.0</v>
      </c>
      <c r="M171" s="112">
        <v>0.0</v>
      </c>
      <c r="N171" s="112">
        <v>0.0</v>
      </c>
      <c r="O171" s="112">
        <v>0.75</v>
      </c>
      <c r="P171" s="112">
        <v>0.0</v>
      </c>
      <c r="Q171" s="112">
        <v>3.0</v>
      </c>
      <c r="AD171" s="119"/>
    </row>
    <row r="172">
      <c r="A172" s="106" t="s">
        <v>244</v>
      </c>
      <c r="B172" s="107">
        <v>3.0</v>
      </c>
      <c r="C172" s="107">
        <v>1.0</v>
      </c>
      <c r="D172" s="107">
        <v>1.0</v>
      </c>
      <c r="E172" s="107">
        <v>2.0</v>
      </c>
      <c r="F172" s="107">
        <v>0.333</v>
      </c>
      <c r="G172" s="107">
        <v>1.0</v>
      </c>
      <c r="H172" s="107">
        <v>0.0</v>
      </c>
      <c r="I172" s="107">
        <v>0.0</v>
      </c>
      <c r="J172" s="107">
        <v>1.0</v>
      </c>
      <c r="K172" s="107">
        <v>0.0</v>
      </c>
      <c r="L172" s="107">
        <v>0.0</v>
      </c>
      <c r="M172" s="107">
        <v>0.0</v>
      </c>
      <c r="N172" s="107">
        <v>0.0</v>
      </c>
      <c r="O172" s="107">
        <v>0.5</v>
      </c>
      <c r="P172" s="107">
        <v>0.667</v>
      </c>
      <c r="Q172" s="107">
        <v>1.0</v>
      </c>
      <c r="AD172" s="119"/>
    </row>
    <row r="173">
      <c r="A173" s="120" t="s">
        <v>99</v>
      </c>
      <c r="B173" s="112">
        <v>27.0</v>
      </c>
      <c r="C173" s="112">
        <v>7.0</v>
      </c>
      <c r="D173" s="112">
        <v>6.0</v>
      </c>
      <c r="E173" s="112">
        <v>4.0</v>
      </c>
      <c r="F173" s="112">
        <v>0.222</v>
      </c>
      <c r="G173" s="112">
        <v>1.0</v>
      </c>
      <c r="H173" s="112">
        <v>0.0</v>
      </c>
      <c r="I173" s="112">
        <v>0.0</v>
      </c>
      <c r="J173" s="112">
        <v>7.0</v>
      </c>
      <c r="K173" s="112">
        <v>10.0</v>
      </c>
      <c r="L173" s="112">
        <v>0.0</v>
      </c>
      <c r="M173" s="112">
        <v>0.0</v>
      </c>
      <c r="N173" s="112">
        <v>1.0</v>
      </c>
      <c r="O173" s="112">
        <v>0.4</v>
      </c>
      <c r="P173" s="112">
        <v>0.259</v>
      </c>
      <c r="Q173" s="112">
        <v>11.0</v>
      </c>
      <c r="AD173" s="119"/>
    </row>
    <row r="174">
      <c r="A174" s="118"/>
      <c r="AD174" s="119"/>
    </row>
    <row r="175">
      <c r="A175" s="98" t="s">
        <v>84</v>
      </c>
      <c r="Q175" s="99"/>
      <c r="R175" s="101" t="s">
        <v>89</v>
      </c>
      <c r="S175" s="102" t="s">
        <v>61</v>
      </c>
      <c r="T175" s="102" t="s">
        <v>62</v>
      </c>
      <c r="U175" s="102" t="s">
        <v>63</v>
      </c>
      <c r="V175" s="102" t="s">
        <v>64</v>
      </c>
      <c r="W175" s="102" t="s">
        <v>12</v>
      </c>
      <c r="X175" s="102" t="s">
        <v>88</v>
      </c>
      <c r="Y175" s="102" t="s">
        <v>10</v>
      </c>
      <c r="Z175" s="102" t="s">
        <v>70</v>
      </c>
      <c r="AA175" s="103"/>
      <c r="AB175" s="124">
        <v>1.0</v>
      </c>
      <c r="AC175" s="100"/>
      <c r="AD175" s="100"/>
    </row>
    <row r="176">
      <c r="A176" s="101" t="s">
        <v>87</v>
      </c>
      <c r="B176" s="102" t="s">
        <v>3</v>
      </c>
      <c r="C176" s="102" t="s">
        <v>63</v>
      </c>
      <c r="D176" s="102" t="s">
        <v>62</v>
      </c>
      <c r="E176" s="102" t="s">
        <v>6</v>
      </c>
      <c r="F176" s="102" t="s">
        <v>18</v>
      </c>
      <c r="G176" s="102" t="s">
        <v>8</v>
      </c>
      <c r="H176" s="102" t="s">
        <v>9</v>
      </c>
      <c r="I176" s="102" t="s">
        <v>10</v>
      </c>
      <c r="J176" s="102" t="s">
        <v>12</v>
      </c>
      <c r="K176" s="102" t="s">
        <v>88</v>
      </c>
      <c r="L176" s="102" t="s">
        <v>15</v>
      </c>
      <c r="M176" s="102" t="s">
        <v>16</v>
      </c>
      <c r="N176" s="102" t="s">
        <v>14</v>
      </c>
      <c r="O176" s="102" t="s">
        <v>19</v>
      </c>
      <c r="P176" s="102" t="s">
        <v>20</v>
      </c>
      <c r="Q176" s="102" t="s">
        <v>11</v>
      </c>
      <c r="R176" s="106" t="s">
        <v>245</v>
      </c>
      <c r="S176" s="107">
        <v>5.0</v>
      </c>
      <c r="T176" s="107">
        <v>1.0</v>
      </c>
      <c r="U176" s="107">
        <v>0.0</v>
      </c>
      <c r="V176" s="107">
        <v>0.0</v>
      </c>
      <c r="W176" s="107">
        <v>3.0</v>
      </c>
      <c r="X176" s="107">
        <v>6.0</v>
      </c>
      <c r="Y176" s="107">
        <v>0.0</v>
      </c>
      <c r="Z176" s="107">
        <v>0.0</v>
      </c>
      <c r="AA176" s="109"/>
      <c r="AB176" s="125">
        <v>2.0</v>
      </c>
      <c r="AC176" s="100"/>
      <c r="AD176" s="100"/>
    </row>
    <row r="177">
      <c r="A177" s="106" t="s">
        <v>246</v>
      </c>
      <c r="B177" s="107">
        <v>2.0</v>
      </c>
      <c r="C177" s="107">
        <v>0.0</v>
      </c>
      <c r="D177" s="107">
        <v>1.0</v>
      </c>
      <c r="E177" s="107">
        <v>0.0</v>
      </c>
      <c r="F177" s="107">
        <v>0.5</v>
      </c>
      <c r="G177" s="107">
        <v>1.0</v>
      </c>
      <c r="H177" s="107">
        <v>0.0</v>
      </c>
      <c r="I177" s="107">
        <v>0.0</v>
      </c>
      <c r="J177" s="107">
        <v>0.0</v>
      </c>
      <c r="K177" s="107">
        <v>1.0</v>
      </c>
      <c r="L177" s="107">
        <v>0.0</v>
      </c>
      <c r="M177" s="107">
        <v>0.0</v>
      </c>
      <c r="N177" s="107">
        <v>0.0</v>
      </c>
      <c r="O177" s="107">
        <v>0.5</v>
      </c>
      <c r="P177" s="107">
        <v>1.0</v>
      </c>
      <c r="Q177" s="107">
        <v>0.0</v>
      </c>
      <c r="R177" s="106" t="s">
        <v>247</v>
      </c>
      <c r="S177" s="112">
        <v>1.0</v>
      </c>
      <c r="T177" s="112">
        <v>1.0</v>
      </c>
      <c r="U177" s="112">
        <v>1.0</v>
      </c>
      <c r="V177" s="112">
        <v>1.0</v>
      </c>
      <c r="W177" s="112">
        <v>2.0</v>
      </c>
      <c r="X177" s="112">
        <v>2.0</v>
      </c>
      <c r="Y177" s="112">
        <v>0.0</v>
      </c>
      <c r="Z177" s="112">
        <v>7.0</v>
      </c>
      <c r="AA177" s="114"/>
      <c r="AB177" s="126">
        <v>3.0</v>
      </c>
      <c r="AD177" s="119"/>
    </row>
    <row r="178">
      <c r="A178" s="106" t="s">
        <v>248</v>
      </c>
      <c r="B178" s="112">
        <v>2.0</v>
      </c>
      <c r="C178" s="112">
        <v>0.0</v>
      </c>
      <c r="D178" s="112">
        <v>0.0</v>
      </c>
      <c r="E178" s="112">
        <v>0.0</v>
      </c>
      <c r="F178" s="112">
        <v>0.0</v>
      </c>
      <c r="G178" s="112">
        <v>0.0</v>
      </c>
      <c r="H178" s="112">
        <v>0.0</v>
      </c>
      <c r="I178" s="112">
        <v>0.0</v>
      </c>
      <c r="J178" s="112">
        <v>0.0</v>
      </c>
      <c r="K178" s="112">
        <v>0.0</v>
      </c>
      <c r="L178" s="112">
        <v>0.0</v>
      </c>
      <c r="M178" s="112">
        <v>0.0</v>
      </c>
      <c r="N178" s="112">
        <v>0.0</v>
      </c>
      <c r="O178" s="112">
        <v>0.0</v>
      </c>
      <c r="P178" s="112">
        <v>0.0</v>
      </c>
      <c r="Q178" s="112">
        <v>0.0</v>
      </c>
      <c r="R178" s="106" t="s">
        <v>249</v>
      </c>
      <c r="S178" s="107">
        <v>1.0</v>
      </c>
      <c r="T178" s="107">
        <v>2.0</v>
      </c>
      <c r="U178" s="107">
        <v>0.0</v>
      </c>
      <c r="V178" s="107">
        <v>0.0</v>
      </c>
      <c r="W178" s="107">
        <v>0.0</v>
      </c>
      <c r="X178" s="107">
        <v>0.0</v>
      </c>
      <c r="Y178" s="107">
        <v>0.0</v>
      </c>
      <c r="Z178" s="107">
        <v>0.0</v>
      </c>
      <c r="AA178" s="109"/>
      <c r="AB178" s="125">
        <v>4.0</v>
      </c>
      <c r="AC178" s="100">
        <v>1.0</v>
      </c>
      <c r="AD178" s="100" t="s">
        <v>44</v>
      </c>
    </row>
    <row r="179">
      <c r="A179" s="106" t="s">
        <v>250</v>
      </c>
      <c r="B179" s="107">
        <v>3.0</v>
      </c>
      <c r="C179" s="107">
        <v>1.0</v>
      </c>
      <c r="D179" s="107">
        <v>2.0</v>
      </c>
      <c r="E179" s="107">
        <v>2.0</v>
      </c>
      <c r="F179" s="107">
        <v>0.667</v>
      </c>
      <c r="G179" s="107">
        <v>0.0</v>
      </c>
      <c r="H179" s="107">
        <v>0.0</v>
      </c>
      <c r="I179" s="107">
        <v>1.0</v>
      </c>
      <c r="J179" s="107">
        <v>0.0</v>
      </c>
      <c r="K179" s="107">
        <v>0.0</v>
      </c>
      <c r="L179" s="107">
        <v>0.0</v>
      </c>
      <c r="M179" s="107">
        <v>0.0</v>
      </c>
      <c r="N179" s="107">
        <v>0.0</v>
      </c>
      <c r="O179" s="107">
        <v>0.667</v>
      </c>
      <c r="P179" s="107">
        <v>1.667</v>
      </c>
      <c r="Q179" s="107">
        <v>0.0</v>
      </c>
      <c r="R179" s="120" t="s">
        <v>99</v>
      </c>
      <c r="S179" s="112">
        <v>7.0</v>
      </c>
      <c r="T179" s="112">
        <v>4.0</v>
      </c>
      <c r="U179" s="112">
        <v>1.0</v>
      </c>
      <c r="V179" s="112">
        <v>1.0</v>
      </c>
      <c r="W179" s="112">
        <v>5.0</v>
      </c>
      <c r="X179" s="112">
        <v>8.0</v>
      </c>
      <c r="Y179" s="112">
        <v>0.0</v>
      </c>
      <c r="Z179" s="112">
        <v>1.0</v>
      </c>
      <c r="AA179" s="114"/>
      <c r="AB179" s="126">
        <v>5.0</v>
      </c>
      <c r="AD179" s="119"/>
    </row>
    <row r="180">
      <c r="A180" s="106" t="s">
        <v>251</v>
      </c>
      <c r="B180" s="112">
        <v>2.0</v>
      </c>
      <c r="C180" s="112">
        <v>0.0</v>
      </c>
      <c r="D180" s="112">
        <v>0.0</v>
      </c>
      <c r="E180" s="112">
        <v>0.0</v>
      </c>
      <c r="F180" s="112">
        <v>0.0</v>
      </c>
      <c r="G180" s="112">
        <v>0.0</v>
      </c>
      <c r="H180" s="112">
        <v>0.0</v>
      </c>
      <c r="I180" s="112">
        <v>0.0</v>
      </c>
      <c r="J180" s="112">
        <v>0.0</v>
      </c>
      <c r="K180" s="112">
        <v>0.0</v>
      </c>
      <c r="L180" s="112">
        <v>0.0</v>
      </c>
      <c r="M180" s="112">
        <v>0.0</v>
      </c>
      <c r="N180" s="112">
        <v>0.0</v>
      </c>
      <c r="O180" s="112">
        <v>0.0</v>
      </c>
      <c r="P180" s="112">
        <v>0.0</v>
      </c>
      <c r="Q180" s="112">
        <v>0.0</v>
      </c>
      <c r="AB180" s="125">
        <v>6.0</v>
      </c>
      <c r="AC180" s="100">
        <v>1.0</v>
      </c>
      <c r="AD180" s="100" t="s">
        <v>41</v>
      </c>
    </row>
    <row r="181">
      <c r="A181" s="106" t="s">
        <v>252</v>
      </c>
      <c r="B181" s="107">
        <v>3.0</v>
      </c>
      <c r="C181" s="107">
        <v>0.0</v>
      </c>
      <c r="D181" s="107">
        <v>0.0</v>
      </c>
      <c r="E181" s="107">
        <v>0.0</v>
      </c>
      <c r="F181" s="107">
        <v>0.0</v>
      </c>
      <c r="G181" s="107">
        <v>0.0</v>
      </c>
      <c r="H181" s="107">
        <v>0.0</v>
      </c>
      <c r="I181" s="107">
        <v>0.0</v>
      </c>
      <c r="J181" s="107">
        <v>0.0</v>
      </c>
      <c r="K181" s="107">
        <v>2.0</v>
      </c>
      <c r="L181" s="107">
        <v>0.0</v>
      </c>
      <c r="M181" s="107">
        <v>0.0</v>
      </c>
      <c r="N181" s="107">
        <v>0.0</v>
      </c>
      <c r="O181" s="107">
        <v>0.0</v>
      </c>
      <c r="P181" s="107">
        <v>0.0</v>
      </c>
      <c r="Q181" s="107">
        <v>0.0</v>
      </c>
      <c r="AB181" s="127">
        <v>7.0</v>
      </c>
      <c r="AD181" s="119"/>
    </row>
    <row r="182">
      <c r="A182" s="106" t="s">
        <v>253</v>
      </c>
      <c r="B182" s="112">
        <v>2.0</v>
      </c>
      <c r="C182" s="112">
        <v>2.0</v>
      </c>
      <c r="D182" s="112">
        <v>1.0</v>
      </c>
      <c r="E182" s="112">
        <v>1.0</v>
      </c>
      <c r="F182" s="112">
        <v>0.5</v>
      </c>
      <c r="G182" s="112">
        <v>0.0</v>
      </c>
      <c r="H182" s="112">
        <v>0.0</v>
      </c>
      <c r="I182" s="112">
        <v>1.0</v>
      </c>
      <c r="J182" s="112">
        <v>1.0</v>
      </c>
      <c r="K182" s="112">
        <v>0.0</v>
      </c>
      <c r="L182" s="112">
        <v>0.0</v>
      </c>
      <c r="M182" s="112">
        <v>0.0</v>
      </c>
      <c r="N182" s="112">
        <v>0.0</v>
      </c>
      <c r="O182" s="112">
        <v>0.667</v>
      </c>
      <c r="P182" s="112">
        <v>2.0</v>
      </c>
      <c r="Q182" s="112">
        <v>0.0</v>
      </c>
      <c r="AD182" s="119"/>
    </row>
    <row r="183">
      <c r="A183" s="106" t="s">
        <v>254</v>
      </c>
      <c r="B183" s="107">
        <v>2.0</v>
      </c>
      <c r="C183" s="107">
        <v>0.0</v>
      </c>
      <c r="D183" s="107">
        <v>0.0</v>
      </c>
      <c r="E183" s="107">
        <v>0.0</v>
      </c>
      <c r="F183" s="107">
        <v>0.0</v>
      </c>
      <c r="G183" s="107">
        <v>0.0</v>
      </c>
      <c r="H183" s="107">
        <v>0.0</v>
      </c>
      <c r="I183" s="107">
        <v>0.0</v>
      </c>
      <c r="J183" s="107">
        <v>0.0</v>
      </c>
      <c r="K183" s="107">
        <v>1.0</v>
      </c>
      <c r="L183" s="107">
        <v>0.0</v>
      </c>
      <c r="M183" s="107">
        <v>0.0</v>
      </c>
      <c r="N183" s="107">
        <v>0.0</v>
      </c>
      <c r="O183" s="107">
        <v>0.0</v>
      </c>
      <c r="P183" s="107">
        <v>0.0</v>
      </c>
      <c r="Q183" s="107">
        <v>0.0</v>
      </c>
      <c r="AD183" s="119"/>
    </row>
    <row r="184">
      <c r="A184" s="106" t="s">
        <v>255</v>
      </c>
      <c r="B184" s="112">
        <v>3.0</v>
      </c>
      <c r="C184" s="112">
        <v>0.0</v>
      </c>
      <c r="D184" s="112">
        <v>0.0</v>
      </c>
      <c r="E184" s="112">
        <v>0.0</v>
      </c>
      <c r="F184" s="112">
        <v>0.0</v>
      </c>
      <c r="G184" s="112">
        <v>0.0</v>
      </c>
      <c r="H184" s="112">
        <v>0.0</v>
      </c>
      <c r="I184" s="112">
        <v>0.0</v>
      </c>
      <c r="J184" s="112">
        <v>0.0</v>
      </c>
      <c r="K184" s="112">
        <v>0.0</v>
      </c>
      <c r="L184" s="112">
        <v>0.0</v>
      </c>
      <c r="M184" s="112">
        <v>0.0</v>
      </c>
      <c r="N184" s="112">
        <v>0.0</v>
      </c>
      <c r="O184" s="112">
        <v>0.0</v>
      </c>
      <c r="P184" s="112">
        <v>0.0</v>
      </c>
      <c r="Q184" s="112">
        <v>0.0</v>
      </c>
      <c r="AD184" s="119"/>
    </row>
    <row r="185">
      <c r="A185" s="106" t="s">
        <v>256</v>
      </c>
      <c r="B185" s="107">
        <v>3.0</v>
      </c>
      <c r="C185" s="107">
        <v>0.0</v>
      </c>
      <c r="D185" s="107">
        <v>0.0</v>
      </c>
      <c r="E185" s="107">
        <v>0.0</v>
      </c>
      <c r="F185" s="107">
        <v>0.0</v>
      </c>
      <c r="G185" s="107">
        <v>0.0</v>
      </c>
      <c r="H185" s="107">
        <v>0.0</v>
      </c>
      <c r="I185" s="107">
        <v>0.0</v>
      </c>
      <c r="J185" s="107">
        <v>0.0</v>
      </c>
      <c r="K185" s="107">
        <v>1.0</v>
      </c>
      <c r="L185" s="107">
        <v>0.0</v>
      </c>
      <c r="M185" s="107">
        <v>0.0</v>
      </c>
      <c r="N185" s="107">
        <v>0.0</v>
      </c>
      <c r="O185" s="107">
        <v>0.0</v>
      </c>
      <c r="P185" s="107">
        <v>0.0</v>
      </c>
      <c r="Q185" s="107">
        <v>0.0</v>
      </c>
      <c r="AD185" s="119"/>
    </row>
    <row r="186">
      <c r="A186" s="120" t="s">
        <v>99</v>
      </c>
      <c r="B186" s="112">
        <v>22.0</v>
      </c>
      <c r="C186" s="112">
        <v>3.0</v>
      </c>
      <c r="D186" s="112">
        <v>4.0</v>
      </c>
      <c r="E186" s="112">
        <v>3.0</v>
      </c>
      <c r="F186" s="112">
        <v>0.182</v>
      </c>
      <c r="G186" s="112">
        <v>1.0</v>
      </c>
      <c r="H186" s="112">
        <v>0.0</v>
      </c>
      <c r="I186" s="112">
        <v>2.0</v>
      </c>
      <c r="J186" s="112">
        <v>1.0</v>
      </c>
      <c r="K186" s="112">
        <v>5.0</v>
      </c>
      <c r="L186" s="112">
        <v>0.0</v>
      </c>
      <c r="M186" s="112">
        <v>0.0</v>
      </c>
      <c r="N186" s="112">
        <v>0.0</v>
      </c>
      <c r="O186" s="112">
        <v>0.217</v>
      </c>
      <c r="P186" s="112">
        <v>0.5</v>
      </c>
      <c r="Q186" s="112">
        <v>0.0</v>
      </c>
      <c r="AD186" s="119"/>
    </row>
    <row r="187">
      <c r="A187" s="118"/>
      <c r="AD187" s="119"/>
    </row>
    <row r="188">
      <c r="A188" s="98" t="s">
        <v>84</v>
      </c>
      <c r="Q188" s="99"/>
      <c r="R188" s="101" t="s">
        <v>89</v>
      </c>
      <c r="S188" s="102" t="s">
        <v>61</v>
      </c>
      <c r="T188" s="102" t="s">
        <v>62</v>
      </c>
      <c r="U188" s="102" t="s">
        <v>63</v>
      </c>
      <c r="V188" s="102" t="s">
        <v>64</v>
      </c>
      <c r="W188" s="102" t="s">
        <v>12</v>
      </c>
      <c r="X188" s="102" t="s">
        <v>88</v>
      </c>
      <c r="Y188" s="102" t="s">
        <v>10</v>
      </c>
      <c r="Z188" s="102" t="s">
        <v>70</v>
      </c>
      <c r="AA188" s="103"/>
      <c r="AB188" s="124">
        <v>1.0</v>
      </c>
      <c r="AC188" s="100">
        <v>2.0</v>
      </c>
      <c r="AD188" s="100" t="s">
        <v>38</v>
      </c>
    </row>
    <row r="189">
      <c r="A189" s="101" t="s">
        <v>87</v>
      </c>
      <c r="B189" s="102" t="s">
        <v>3</v>
      </c>
      <c r="C189" s="102" t="s">
        <v>63</v>
      </c>
      <c r="D189" s="102" t="s">
        <v>62</v>
      </c>
      <c r="E189" s="102" t="s">
        <v>6</v>
      </c>
      <c r="F189" s="102" t="s">
        <v>18</v>
      </c>
      <c r="G189" s="102" t="s">
        <v>8</v>
      </c>
      <c r="H189" s="102" t="s">
        <v>9</v>
      </c>
      <c r="I189" s="102" t="s">
        <v>10</v>
      </c>
      <c r="J189" s="102" t="s">
        <v>12</v>
      </c>
      <c r="K189" s="102" t="s">
        <v>88</v>
      </c>
      <c r="L189" s="102" t="s">
        <v>15</v>
      </c>
      <c r="M189" s="102" t="s">
        <v>16</v>
      </c>
      <c r="N189" s="102" t="s">
        <v>14</v>
      </c>
      <c r="O189" s="102" t="s">
        <v>19</v>
      </c>
      <c r="P189" s="102" t="s">
        <v>20</v>
      </c>
      <c r="Q189" s="102" t="s">
        <v>11</v>
      </c>
      <c r="R189" s="106" t="s">
        <v>257</v>
      </c>
      <c r="S189" s="107">
        <v>7.0</v>
      </c>
      <c r="T189" s="107">
        <v>9.0</v>
      </c>
      <c r="U189" s="107">
        <v>0.0</v>
      </c>
      <c r="V189" s="107">
        <v>0.0</v>
      </c>
      <c r="W189" s="107">
        <v>0.0</v>
      </c>
      <c r="X189" s="107">
        <v>5.0</v>
      </c>
      <c r="Y189" s="107">
        <v>0.0</v>
      </c>
      <c r="Z189" s="107">
        <v>0.0</v>
      </c>
      <c r="AA189" s="109"/>
      <c r="AB189" s="125">
        <v>2.0</v>
      </c>
      <c r="AD189" s="119"/>
    </row>
    <row r="190">
      <c r="A190" s="106" t="s">
        <v>258</v>
      </c>
      <c r="B190" s="107">
        <v>3.0</v>
      </c>
      <c r="C190" s="107">
        <v>1.0</v>
      </c>
      <c r="D190" s="107">
        <v>1.0</v>
      </c>
      <c r="E190" s="107">
        <v>0.0</v>
      </c>
      <c r="F190" s="107">
        <v>0.333</v>
      </c>
      <c r="G190" s="107">
        <v>0.0</v>
      </c>
      <c r="H190" s="107">
        <v>0.0</v>
      </c>
      <c r="I190" s="107">
        <v>0.0</v>
      </c>
      <c r="J190" s="107">
        <v>0.0</v>
      </c>
      <c r="K190" s="107">
        <v>1.0</v>
      </c>
      <c r="L190" s="107">
        <v>0.0</v>
      </c>
      <c r="M190" s="107">
        <v>0.0</v>
      </c>
      <c r="N190" s="107">
        <v>0.0</v>
      </c>
      <c r="O190" s="107">
        <v>0.333</v>
      </c>
      <c r="P190" s="107">
        <v>0.333</v>
      </c>
      <c r="Q190" s="107">
        <v>2.0</v>
      </c>
      <c r="R190" s="120" t="s">
        <v>99</v>
      </c>
      <c r="S190" s="112">
        <v>7.0</v>
      </c>
      <c r="T190" s="112">
        <v>9.0</v>
      </c>
      <c r="U190" s="112">
        <v>0.0</v>
      </c>
      <c r="V190" s="112">
        <v>0.0</v>
      </c>
      <c r="W190" s="112">
        <v>0.0</v>
      </c>
      <c r="X190" s="112">
        <v>5.0</v>
      </c>
      <c r="Y190" s="112">
        <v>0.0</v>
      </c>
      <c r="Z190" s="112">
        <v>0.0</v>
      </c>
      <c r="AA190" s="114"/>
      <c r="AB190" s="126">
        <v>3.0</v>
      </c>
      <c r="AC190" s="100">
        <v>1.0</v>
      </c>
      <c r="AD190" s="100" t="s">
        <v>40</v>
      </c>
    </row>
    <row r="191">
      <c r="A191" s="106" t="s">
        <v>259</v>
      </c>
      <c r="B191" s="112">
        <v>3.0</v>
      </c>
      <c r="C191" s="112">
        <v>0.0</v>
      </c>
      <c r="D191" s="112">
        <v>0.0</v>
      </c>
      <c r="E191" s="112">
        <v>0.0</v>
      </c>
      <c r="F191" s="112">
        <v>0.0</v>
      </c>
      <c r="G191" s="112">
        <v>0.0</v>
      </c>
      <c r="H191" s="112">
        <v>0.0</v>
      </c>
      <c r="I191" s="112">
        <v>0.0</v>
      </c>
      <c r="J191" s="112">
        <v>0.0</v>
      </c>
      <c r="K191" s="112">
        <v>1.0</v>
      </c>
      <c r="L191" s="112">
        <v>0.0</v>
      </c>
      <c r="M191" s="112">
        <v>0.0</v>
      </c>
      <c r="N191" s="112">
        <v>0.0</v>
      </c>
      <c r="O191" s="112">
        <v>0.0</v>
      </c>
      <c r="P191" s="112">
        <v>0.0</v>
      </c>
      <c r="Q191" s="112">
        <v>0.0</v>
      </c>
      <c r="R191" s="118"/>
      <c r="AB191" s="125">
        <v>4.0</v>
      </c>
      <c r="AD191" s="119"/>
    </row>
    <row r="192">
      <c r="A192" s="106" t="s">
        <v>260</v>
      </c>
      <c r="B192" s="107">
        <v>3.0</v>
      </c>
      <c r="C192" s="107">
        <v>0.0</v>
      </c>
      <c r="D192" s="107">
        <v>0.0</v>
      </c>
      <c r="E192" s="107">
        <v>0.0</v>
      </c>
      <c r="F192" s="107">
        <v>0.0</v>
      </c>
      <c r="G192" s="107">
        <v>0.0</v>
      </c>
      <c r="H192" s="107">
        <v>0.0</v>
      </c>
      <c r="I192" s="107">
        <v>0.0</v>
      </c>
      <c r="J192" s="107">
        <v>0.0</v>
      </c>
      <c r="K192" s="107">
        <v>0.0</v>
      </c>
      <c r="L192" s="107">
        <v>0.0</v>
      </c>
      <c r="M192" s="107">
        <v>0.0</v>
      </c>
      <c r="N192" s="107">
        <v>0.0</v>
      </c>
      <c r="O192" s="107">
        <v>0.0</v>
      </c>
      <c r="P192" s="107">
        <v>0.0</v>
      </c>
      <c r="Q192" s="107">
        <v>0.0</v>
      </c>
      <c r="AB192" s="126">
        <v>5.0</v>
      </c>
      <c r="AD192" s="119"/>
    </row>
    <row r="193">
      <c r="A193" s="106" t="s">
        <v>261</v>
      </c>
      <c r="B193" s="112">
        <v>3.0</v>
      </c>
      <c r="C193" s="112">
        <v>1.0</v>
      </c>
      <c r="D193" s="112">
        <v>1.0</v>
      </c>
      <c r="E193" s="112">
        <v>1.0</v>
      </c>
      <c r="F193" s="112">
        <v>0.333</v>
      </c>
      <c r="G193" s="112">
        <v>0.0</v>
      </c>
      <c r="H193" s="112">
        <v>0.0</v>
      </c>
      <c r="I193" s="112">
        <v>0.0</v>
      </c>
      <c r="J193" s="112">
        <v>0.0</v>
      </c>
      <c r="K193" s="112">
        <v>2.0</v>
      </c>
      <c r="L193" s="112">
        <v>0.0</v>
      </c>
      <c r="M193" s="112">
        <v>0.0</v>
      </c>
      <c r="N193" s="112">
        <v>0.0</v>
      </c>
      <c r="O193" s="112">
        <v>0.333</v>
      </c>
      <c r="P193" s="112">
        <v>0.333</v>
      </c>
      <c r="Q193" s="112">
        <v>0.0</v>
      </c>
      <c r="AB193" s="125">
        <v>6.0</v>
      </c>
      <c r="AD193" s="119"/>
    </row>
    <row r="194">
      <c r="A194" s="106" t="s">
        <v>262</v>
      </c>
      <c r="B194" s="107">
        <v>3.0</v>
      </c>
      <c r="C194" s="107">
        <v>1.0</v>
      </c>
      <c r="D194" s="108">
        <v>2.0</v>
      </c>
      <c r="E194" s="107">
        <v>0.0</v>
      </c>
      <c r="F194" s="107">
        <v>0.333</v>
      </c>
      <c r="G194" s="107">
        <v>0.0</v>
      </c>
      <c r="H194" s="107">
        <v>0.0</v>
      </c>
      <c r="I194" s="107">
        <v>0.0</v>
      </c>
      <c r="J194" s="107">
        <v>1.0</v>
      </c>
      <c r="K194" s="107">
        <v>0.0</v>
      </c>
      <c r="L194" s="107">
        <v>0.0</v>
      </c>
      <c r="M194" s="107">
        <v>0.0</v>
      </c>
      <c r="N194" s="107">
        <v>0.0</v>
      </c>
      <c r="O194" s="107">
        <v>0.5</v>
      </c>
      <c r="P194" s="107">
        <v>0.333</v>
      </c>
      <c r="Q194" s="107">
        <v>1.0</v>
      </c>
      <c r="AB194" s="127">
        <v>7.0</v>
      </c>
      <c r="AC194" s="100">
        <v>2.0</v>
      </c>
      <c r="AD194" s="100" t="s">
        <v>39</v>
      </c>
    </row>
    <row r="195">
      <c r="A195" s="106" t="s">
        <v>263</v>
      </c>
      <c r="B195" s="112">
        <v>3.0</v>
      </c>
      <c r="C195" s="112">
        <v>0.0</v>
      </c>
      <c r="D195" s="112">
        <v>2.0</v>
      </c>
      <c r="E195" s="112">
        <v>1.0</v>
      </c>
      <c r="F195" s="112">
        <v>0.667</v>
      </c>
      <c r="G195" s="112">
        <v>0.0</v>
      </c>
      <c r="H195" s="112">
        <v>0.0</v>
      </c>
      <c r="I195" s="112">
        <v>0.0</v>
      </c>
      <c r="J195" s="112">
        <v>0.0</v>
      </c>
      <c r="K195" s="112">
        <v>0.0</v>
      </c>
      <c r="L195" s="112">
        <v>0.0</v>
      </c>
      <c r="M195" s="112">
        <v>0.0</v>
      </c>
      <c r="N195" s="112">
        <v>0.0</v>
      </c>
      <c r="O195" s="112">
        <v>0.667</v>
      </c>
      <c r="P195" s="112">
        <v>0.667</v>
      </c>
      <c r="Q195" s="112">
        <v>1.0</v>
      </c>
      <c r="AD195" s="119"/>
    </row>
    <row r="196">
      <c r="A196" s="106" t="s">
        <v>264</v>
      </c>
      <c r="B196" s="107">
        <v>3.0</v>
      </c>
      <c r="C196" s="107">
        <v>0.0</v>
      </c>
      <c r="D196" s="107">
        <v>1.0</v>
      </c>
      <c r="E196" s="107">
        <v>1.0</v>
      </c>
      <c r="F196" s="107">
        <v>0.333</v>
      </c>
      <c r="G196" s="107">
        <v>0.0</v>
      </c>
      <c r="H196" s="107">
        <v>0.0</v>
      </c>
      <c r="I196" s="107">
        <v>0.0</v>
      </c>
      <c r="J196" s="107">
        <v>0.0</v>
      </c>
      <c r="K196" s="107">
        <v>1.0</v>
      </c>
      <c r="L196" s="107">
        <v>0.0</v>
      </c>
      <c r="M196" s="107">
        <v>0.0</v>
      </c>
      <c r="N196" s="107">
        <v>0.0</v>
      </c>
      <c r="O196" s="107">
        <v>0.333</v>
      </c>
      <c r="P196" s="107">
        <v>0.333</v>
      </c>
      <c r="Q196" s="107">
        <v>0.0</v>
      </c>
      <c r="AD196" s="119"/>
    </row>
    <row r="197">
      <c r="A197" s="106" t="s">
        <v>265</v>
      </c>
      <c r="B197" s="112">
        <v>3.0</v>
      </c>
      <c r="C197" s="112">
        <v>0.0</v>
      </c>
      <c r="D197" s="112">
        <v>0.0</v>
      </c>
      <c r="E197" s="112">
        <v>0.0</v>
      </c>
      <c r="F197" s="112">
        <v>0.0</v>
      </c>
      <c r="G197" s="112">
        <v>0.0</v>
      </c>
      <c r="H197" s="112">
        <v>0.0</v>
      </c>
      <c r="I197" s="112">
        <v>0.0</v>
      </c>
      <c r="J197" s="112">
        <v>0.0</v>
      </c>
      <c r="K197" s="112">
        <v>3.0</v>
      </c>
      <c r="L197" s="112">
        <v>0.0</v>
      </c>
      <c r="M197" s="112">
        <v>0.0</v>
      </c>
      <c r="N197" s="112">
        <v>0.0</v>
      </c>
      <c r="O197" s="112">
        <v>0.0</v>
      </c>
      <c r="P197" s="112">
        <v>0.0</v>
      </c>
      <c r="Q197" s="112">
        <v>0.0</v>
      </c>
      <c r="AD197" s="119"/>
    </row>
    <row r="198">
      <c r="A198" s="106" t="s">
        <v>266</v>
      </c>
      <c r="B198" s="107">
        <v>4.0</v>
      </c>
      <c r="C198" s="107">
        <v>0.0</v>
      </c>
      <c r="D198" s="107">
        <v>0.0</v>
      </c>
      <c r="E198" s="107">
        <v>0.0</v>
      </c>
      <c r="F198" s="107">
        <v>0.0</v>
      </c>
      <c r="G198" s="107">
        <v>0.0</v>
      </c>
      <c r="H198" s="107">
        <v>0.0</v>
      </c>
      <c r="I198" s="107">
        <v>0.0</v>
      </c>
      <c r="J198" s="107">
        <v>0.0</v>
      </c>
      <c r="K198" s="107">
        <v>2.0</v>
      </c>
      <c r="L198" s="107">
        <v>0.0</v>
      </c>
      <c r="M198" s="107">
        <v>0.0</v>
      </c>
      <c r="N198" s="107">
        <v>0.0</v>
      </c>
      <c r="O198" s="107">
        <v>0.0</v>
      </c>
      <c r="P198" s="107">
        <v>0.0</v>
      </c>
      <c r="Q198" s="107">
        <v>0.0</v>
      </c>
      <c r="AD198" s="119"/>
    </row>
    <row r="199">
      <c r="A199" s="120" t="s">
        <v>99</v>
      </c>
      <c r="B199" s="112">
        <v>28.0</v>
      </c>
      <c r="C199" s="112">
        <v>3.0</v>
      </c>
      <c r="D199" s="112">
        <v>6.0</v>
      </c>
      <c r="E199" s="112">
        <v>3.0</v>
      </c>
      <c r="F199" s="112">
        <v>0.214</v>
      </c>
      <c r="G199" s="112">
        <v>0.0</v>
      </c>
      <c r="H199" s="112">
        <v>0.0</v>
      </c>
      <c r="I199" s="112">
        <v>0.0</v>
      </c>
      <c r="J199" s="112">
        <v>1.0</v>
      </c>
      <c r="K199" s="112">
        <v>10.0</v>
      </c>
      <c r="L199" s="112">
        <v>0.0</v>
      </c>
      <c r="M199" s="112">
        <v>0.0</v>
      </c>
      <c r="N199" s="112">
        <v>0.0</v>
      </c>
      <c r="O199" s="112">
        <v>0.241</v>
      </c>
      <c r="P199" s="112">
        <v>0.214</v>
      </c>
      <c r="Q199" s="112">
        <v>4.0</v>
      </c>
      <c r="AD199" s="119"/>
    </row>
    <row r="200">
      <c r="A200" s="118"/>
      <c r="AD200" s="119"/>
    </row>
    <row r="201">
      <c r="A201" s="98" t="s">
        <v>84</v>
      </c>
      <c r="Q201" s="99"/>
      <c r="R201" s="101" t="s">
        <v>89</v>
      </c>
      <c r="S201" s="102" t="s">
        <v>61</v>
      </c>
      <c r="T201" s="102" t="s">
        <v>62</v>
      </c>
      <c r="U201" s="102" t="s">
        <v>63</v>
      </c>
      <c r="V201" s="102" t="s">
        <v>64</v>
      </c>
      <c r="W201" s="102" t="s">
        <v>12</v>
      </c>
      <c r="X201" s="102" t="s">
        <v>88</v>
      </c>
      <c r="Y201" s="102" t="s">
        <v>10</v>
      </c>
      <c r="Z201" s="102" t="s">
        <v>70</v>
      </c>
      <c r="AA201" s="103"/>
      <c r="AB201" s="124">
        <v>1.0</v>
      </c>
      <c r="AD201" s="119"/>
    </row>
    <row r="202">
      <c r="A202" s="101" t="s">
        <v>87</v>
      </c>
      <c r="B202" s="102" t="s">
        <v>3</v>
      </c>
      <c r="C202" s="102" t="s">
        <v>63</v>
      </c>
      <c r="D202" s="102" t="s">
        <v>62</v>
      </c>
      <c r="E202" s="102" t="s">
        <v>6</v>
      </c>
      <c r="F202" s="102" t="s">
        <v>18</v>
      </c>
      <c r="G202" s="102" t="s">
        <v>8</v>
      </c>
      <c r="H202" s="102" t="s">
        <v>9</v>
      </c>
      <c r="I202" s="102" t="s">
        <v>10</v>
      </c>
      <c r="J202" s="102" t="s">
        <v>12</v>
      </c>
      <c r="K202" s="102" t="s">
        <v>88</v>
      </c>
      <c r="L202" s="102" t="s">
        <v>15</v>
      </c>
      <c r="M202" s="102" t="s">
        <v>16</v>
      </c>
      <c r="N202" s="102" t="s">
        <v>14</v>
      </c>
      <c r="O202" s="102" t="s">
        <v>19</v>
      </c>
      <c r="P202" s="102" t="s">
        <v>20</v>
      </c>
      <c r="Q202" s="102" t="s">
        <v>11</v>
      </c>
      <c r="R202" s="106" t="s">
        <v>267</v>
      </c>
      <c r="S202" s="107">
        <v>5.0</v>
      </c>
      <c r="T202" s="107">
        <v>1.0</v>
      </c>
      <c r="U202" s="107">
        <v>0.0</v>
      </c>
      <c r="V202" s="107">
        <v>0.0</v>
      </c>
      <c r="W202" s="107">
        <v>2.0</v>
      </c>
      <c r="X202" s="107">
        <v>10.0</v>
      </c>
      <c r="Y202" s="107">
        <v>0.0</v>
      </c>
      <c r="Z202" s="107">
        <v>0.0</v>
      </c>
      <c r="AA202" s="109"/>
      <c r="AB202" s="125">
        <v>2.0</v>
      </c>
      <c r="AD202" s="119"/>
    </row>
    <row r="203">
      <c r="A203" s="106" t="s">
        <v>268</v>
      </c>
      <c r="B203" s="107">
        <v>1.0</v>
      </c>
      <c r="C203" s="107">
        <v>1.0</v>
      </c>
      <c r="D203" s="107">
        <v>0.0</v>
      </c>
      <c r="E203" s="107">
        <v>0.0</v>
      </c>
      <c r="F203" s="107">
        <v>0.0</v>
      </c>
      <c r="G203" s="107">
        <v>0.0</v>
      </c>
      <c r="H203" s="107">
        <v>0.0</v>
      </c>
      <c r="I203" s="107">
        <v>0.0</v>
      </c>
      <c r="J203" s="107">
        <v>1.0</v>
      </c>
      <c r="K203" s="107">
        <v>1.0</v>
      </c>
      <c r="L203" s="107">
        <v>0.0</v>
      </c>
      <c r="M203" s="107">
        <v>0.0</v>
      </c>
      <c r="N203" s="107">
        <v>0.0</v>
      </c>
      <c r="O203" s="107">
        <v>0.5</v>
      </c>
      <c r="P203" s="107">
        <v>0.0</v>
      </c>
      <c r="Q203" s="107">
        <v>0.0</v>
      </c>
      <c r="R203" s="120" t="s">
        <v>99</v>
      </c>
      <c r="S203" s="112">
        <v>5.0</v>
      </c>
      <c r="T203" s="112">
        <v>1.0</v>
      </c>
      <c r="U203" s="112">
        <v>0.0</v>
      </c>
      <c r="V203" s="112">
        <v>0.0</v>
      </c>
      <c r="W203" s="112">
        <v>2.0</v>
      </c>
      <c r="X203" s="112">
        <v>10.0</v>
      </c>
      <c r="Y203" s="112">
        <v>0.0</v>
      </c>
      <c r="Z203" s="112">
        <v>0.0</v>
      </c>
      <c r="AA203" s="114"/>
      <c r="AB203" s="126">
        <v>3.0</v>
      </c>
      <c r="AD203" s="119"/>
    </row>
    <row r="204">
      <c r="A204" s="106" t="s">
        <v>269</v>
      </c>
      <c r="B204" s="112">
        <v>3.0</v>
      </c>
      <c r="C204" s="112">
        <v>0.0</v>
      </c>
      <c r="D204" s="112">
        <v>1.0</v>
      </c>
      <c r="E204" s="112">
        <v>0.0</v>
      </c>
      <c r="F204" s="112">
        <v>0.333</v>
      </c>
      <c r="G204" s="112">
        <v>0.0</v>
      </c>
      <c r="H204" s="112">
        <v>0.0</v>
      </c>
      <c r="I204" s="112">
        <v>0.0</v>
      </c>
      <c r="J204" s="112">
        <v>0.0</v>
      </c>
      <c r="K204" s="112">
        <v>1.0</v>
      </c>
      <c r="L204" s="112">
        <v>0.0</v>
      </c>
      <c r="M204" s="112">
        <v>0.0</v>
      </c>
      <c r="N204" s="112">
        <v>0.0</v>
      </c>
      <c r="O204" s="112">
        <v>0.333</v>
      </c>
      <c r="P204" s="112">
        <v>0.333</v>
      </c>
      <c r="Q204" s="112">
        <v>0.0</v>
      </c>
      <c r="AB204" s="125">
        <v>4.0</v>
      </c>
      <c r="AC204" s="100">
        <v>1.0</v>
      </c>
      <c r="AD204" s="100" t="s">
        <v>46</v>
      </c>
    </row>
    <row r="205">
      <c r="A205" s="106" t="s">
        <v>270</v>
      </c>
      <c r="B205" s="107">
        <v>2.0</v>
      </c>
      <c r="C205" s="107">
        <v>2.0</v>
      </c>
      <c r="D205" s="107">
        <v>2.0</v>
      </c>
      <c r="E205" s="107">
        <v>5.0</v>
      </c>
      <c r="F205" s="107">
        <v>1.0</v>
      </c>
      <c r="G205" s="107">
        <v>0.0</v>
      </c>
      <c r="H205" s="107">
        <v>0.0</v>
      </c>
      <c r="I205" s="107">
        <v>1.0</v>
      </c>
      <c r="J205" s="107">
        <v>1.0</v>
      </c>
      <c r="K205" s="107">
        <v>0.0</v>
      </c>
      <c r="L205" s="107">
        <v>0.0</v>
      </c>
      <c r="M205" s="107">
        <v>0.0</v>
      </c>
      <c r="N205" s="107">
        <v>0.0</v>
      </c>
      <c r="O205" s="107">
        <v>1.0</v>
      </c>
      <c r="P205" s="107">
        <v>2.5</v>
      </c>
      <c r="Q205" s="107">
        <v>0.0</v>
      </c>
      <c r="AB205" s="126">
        <v>5.0</v>
      </c>
      <c r="AD205" s="119"/>
    </row>
    <row r="206">
      <c r="A206" s="106" t="s">
        <v>271</v>
      </c>
      <c r="B206" s="112">
        <v>1.0</v>
      </c>
      <c r="C206" s="112">
        <v>0.0</v>
      </c>
      <c r="D206" s="112">
        <v>0.0</v>
      </c>
      <c r="E206" s="112">
        <v>0.0</v>
      </c>
      <c r="F206" s="112">
        <v>0.0</v>
      </c>
      <c r="G206" s="112">
        <v>0.0</v>
      </c>
      <c r="H206" s="112">
        <v>0.0</v>
      </c>
      <c r="I206" s="112">
        <v>0.0</v>
      </c>
      <c r="J206" s="112">
        <v>0.0</v>
      </c>
      <c r="K206" s="112">
        <v>1.0</v>
      </c>
      <c r="L206" s="112">
        <v>0.0</v>
      </c>
      <c r="M206" s="112">
        <v>1.0</v>
      </c>
      <c r="N206" s="112">
        <v>0.0</v>
      </c>
      <c r="O206" s="112">
        <v>0.0</v>
      </c>
      <c r="P206" s="112">
        <v>0.0</v>
      </c>
      <c r="Q206" s="112">
        <v>0.0</v>
      </c>
      <c r="AB206" s="125">
        <v>6.0</v>
      </c>
      <c r="AD206" s="119"/>
    </row>
    <row r="207">
      <c r="A207" s="106" t="s">
        <v>272</v>
      </c>
      <c r="B207" s="107">
        <v>3.0</v>
      </c>
      <c r="C207" s="107">
        <v>1.0</v>
      </c>
      <c r="D207" s="107">
        <v>1.0</v>
      </c>
      <c r="E207" s="107">
        <v>2.0</v>
      </c>
      <c r="F207" s="107">
        <v>0.333</v>
      </c>
      <c r="G207" s="107">
        <v>0.0</v>
      </c>
      <c r="H207" s="107">
        <v>0.0</v>
      </c>
      <c r="I207" s="107">
        <v>1.0</v>
      </c>
      <c r="J207" s="107">
        <v>0.0</v>
      </c>
      <c r="K207" s="107">
        <v>1.0</v>
      </c>
      <c r="L207" s="107">
        <v>0.0</v>
      </c>
      <c r="M207" s="107">
        <v>0.0</v>
      </c>
      <c r="N207" s="107">
        <v>0.0</v>
      </c>
      <c r="O207" s="107">
        <v>0.333</v>
      </c>
      <c r="P207" s="107">
        <v>1.333</v>
      </c>
      <c r="Q207" s="107">
        <v>0.0</v>
      </c>
      <c r="AB207" s="127">
        <v>7.0</v>
      </c>
      <c r="AD207" s="119"/>
    </row>
    <row r="208">
      <c r="A208" s="106" t="s">
        <v>273</v>
      </c>
      <c r="B208" s="112">
        <v>2.0</v>
      </c>
      <c r="C208" s="112">
        <v>2.0</v>
      </c>
      <c r="D208" s="112">
        <v>1.0</v>
      </c>
      <c r="E208" s="112">
        <v>0.0</v>
      </c>
      <c r="F208" s="112">
        <v>0.5</v>
      </c>
      <c r="G208" s="112">
        <v>0.0</v>
      </c>
      <c r="H208" s="112">
        <v>0.0</v>
      </c>
      <c r="I208" s="112">
        <v>0.0</v>
      </c>
      <c r="J208" s="112">
        <v>1.0</v>
      </c>
      <c r="K208" s="112">
        <v>1.0</v>
      </c>
      <c r="L208" s="112">
        <v>0.0</v>
      </c>
      <c r="M208" s="112">
        <v>0.0</v>
      </c>
      <c r="N208" s="112">
        <v>0.0</v>
      </c>
      <c r="O208" s="112">
        <v>0.667</v>
      </c>
      <c r="P208" s="112">
        <v>0.5</v>
      </c>
      <c r="Q208" s="112">
        <v>0.0</v>
      </c>
      <c r="AD208" s="119"/>
    </row>
    <row r="209">
      <c r="A209" s="106" t="s">
        <v>274</v>
      </c>
      <c r="B209" s="107">
        <v>2.0</v>
      </c>
      <c r="C209" s="107">
        <v>2.0</v>
      </c>
      <c r="D209" s="107">
        <v>2.0</v>
      </c>
      <c r="E209" s="107">
        <v>0.0</v>
      </c>
      <c r="F209" s="107">
        <v>1.0</v>
      </c>
      <c r="G209" s="107">
        <v>1.0</v>
      </c>
      <c r="H209" s="107">
        <v>0.0</v>
      </c>
      <c r="I209" s="107">
        <v>0.0</v>
      </c>
      <c r="J209" s="107">
        <v>1.0</v>
      </c>
      <c r="K209" s="107">
        <v>0.0</v>
      </c>
      <c r="L209" s="107">
        <v>0.0</v>
      </c>
      <c r="M209" s="107">
        <v>0.0</v>
      </c>
      <c r="N209" s="107">
        <v>0.0</v>
      </c>
      <c r="O209" s="107">
        <v>1.0</v>
      </c>
      <c r="P209" s="107">
        <v>1.5</v>
      </c>
      <c r="Q209" s="107">
        <v>0.0</v>
      </c>
      <c r="AD209" s="119"/>
    </row>
    <row r="210">
      <c r="A210" s="106" t="s">
        <v>275</v>
      </c>
      <c r="B210" s="112">
        <v>2.0</v>
      </c>
      <c r="C210" s="112">
        <v>1.0</v>
      </c>
      <c r="D210" s="112">
        <v>0.0</v>
      </c>
      <c r="E210" s="112">
        <v>0.0</v>
      </c>
      <c r="F210" s="112">
        <v>0.0</v>
      </c>
      <c r="G210" s="112">
        <v>0.0</v>
      </c>
      <c r="H210" s="112">
        <v>0.0</v>
      </c>
      <c r="I210" s="112">
        <v>0.0</v>
      </c>
      <c r="J210" s="112">
        <v>1.0</v>
      </c>
      <c r="K210" s="112">
        <v>1.0</v>
      </c>
      <c r="L210" s="112">
        <v>0.0</v>
      </c>
      <c r="M210" s="112">
        <v>0.0</v>
      </c>
      <c r="N210" s="112">
        <v>0.0</v>
      </c>
      <c r="O210" s="112">
        <v>0.333</v>
      </c>
      <c r="P210" s="112">
        <v>0.0</v>
      </c>
      <c r="Q210" s="112">
        <v>1.0</v>
      </c>
      <c r="AD210" s="119"/>
    </row>
    <row r="211">
      <c r="A211" s="106" t="s">
        <v>276</v>
      </c>
      <c r="B211" s="107">
        <v>2.0</v>
      </c>
      <c r="C211" s="107">
        <v>2.0</v>
      </c>
      <c r="D211" s="107">
        <v>1.0</v>
      </c>
      <c r="E211" s="107">
        <v>1.0</v>
      </c>
      <c r="F211" s="107">
        <v>0.5</v>
      </c>
      <c r="G211" s="107">
        <v>0.0</v>
      </c>
      <c r="H211" s="107">
        <v>0.0</v>
      </c>
      <c r="I211" s="107">
        <v>0.0</v>
      </c>
      <c r="J211" s="107">
        <v>1.0</v>
      </c>
      <c r="K211" s="107">
        <v>0.0</v>
      </c>
      <c r="L211" s="107">
        <v>0.0</v>
      </c>
      <c r="M211" s="107">
        <v>0.0</v>
      </c>
      <c r="N211" s="107">
        <v>0.0</v>
      </c>
      <c r="O211" s="107">
        <v>0.667</v>
      </c>
      <c r="P211" s="107">
        <v>0.5</v>
      </c>
      <c r="Q211" s="107">
        <v>0.0</v>
      </c>
      <c r="AD211" s="119"/>
    </row>
    <row r="212">
      <c r="A212" s="120" t="s">
        <v>99</v>
      </c>
      <c r="B212" s="112">
        <v>18.0</v>
      </c>
      <c r="C212" s="112">
        <v>11.0</v>
      </c>
      <c r="D212" s="112">
        <v>8.0</v>
      </c>
      <c r="E212" s="112">
        <v>8.0</v>
      </c>
      <c r="F212" s="112">
        <v>0.444</v>
      </c>
      <c r="G212" s="112">
        <v>1.0</v>
      </c>
      <c r="H212" s="112">
        <v>0.0</v>
      </c>
      <c r="I212" s="112">
        <v>2.0</v>
      </c>
      <c r="J212" s="112">
        <v>6.0</v>
      </c>
      <c r="K212" s="112">
        <v>6.0</v>
      </c>
      <c r="L212" s="112">
        <v>0.0</v>
      </c>
      <c r="M212" s="112">
        <v>1.0</v>
      </c>
      <c r="N212" s="112">
        <v>0.0</v>
      </c>
      <c r="O212" s="112">
        <v>0.583</v>
      </c>
      <c r="P212" s="112">
        <v>0.833</v>
      </c>
      <c r="Q212" s="112">
        <v>1.0</v>
      </c>
      <c r="AD212" s="119"/>
    </row>
    <row r="213">
      <c r="A213" s="118"/>
      <c r="AD213" s="119"/>
    </row>
    <row r="214">
      <c r="A214" s="98" t="s">
        <v>84</v>
      </c>
      <c r="Q214" s="99"/>
      <c r="R214" s="101" t="s">
        <v>89</v>
      </c>
      <c r="S214" s="102" t="s">
        <v>61</v>
      </c>
      <c r="T214" s="102" t="s">
        <v>62</v>
      </c>
      <c r="U214" s="102" t="s">
        <v>63</v>
      </c>
      <c r="V214" s="102" t="s">
        <v>64</v>
      </c>
      <c r="W214" s="102" t="s">
        <v>12</v>
      </c>
      <c r="X214" s="102" t="s">
        <v>88</v>
      </c>
      <c r="Y214" s="102" t="s">
        <v>10</v>
      </c>
      <c r="Z214" s="102" t="s">
        <v>70</v>
      </c>
      <c r="AA214" s="103"/>
      <c r="AB214" s="124">
        <v>1.0</v>
      </c>
      <c r="AC214" s="100">
        <v>1.0</v>
      </c>
      <c r="AD214" s="100" t="s">
        <v>40</v>
      </c>
    </row>
    <row r="215">
      <c r="A215" s="101" t="s">
        <v>87</v>
      </c>
      <c r="B215" s="102" t="s">
        <v>3</v>
      </c>
      <c r="C215" s="102" t="s">
        <v>63</v>
      </c>
      <c r="D215" s="102" t="s">
        <v>62</v>
      </c>
      <c r="E215" s="102" t="s">
        <v>6</v>
      </c>
      <c r="F215" s="102" t="s">
        <v>18</v>
      </c>
      <c r="G215" s="102" t="s">
        <v>8</v>
      </c>
      <c r="H215" s="102" t="s">
        <v>9</v>
      </c>
      <c r="I215" s="102" t="s">
        <v>10</v>
      </c>
      <c r="J215" s="102" t="s">
        <v>12</v>
      </c>
      <c r="K215" s="102" t="s">
        <v>88</v>
      </c>
      <c r="L215" s="102" t="s">
        <v>15</v>
      </c>
      <c r="M215" s="102" t="s">
        <v>16</v>
      </c>
      <c r="N215" s="102" t="s">
        <v>14</v>
      </c>
      <c r="O215" s="102" t="s">
        <v>19</v>
      </c>
      <c r="P215" s="102" t="s">
        <v>20</v>
      </c>
      <c r="Q215" s="102" t="s">
        <v>11</v>
      </c>
      <c r="R215" s="106" t="s">
        <v>277</v>
      </c>
      <c r="S215" s="107">
        <v>1.0</v>
      </c>
      <c r="T215" s="107">
        <v>2.0</v>
      </c>
      <c r="U215" s="107">
        <v>0.0</v>
      </c>
      <c r="V215" s="107">
        <v>0.0</v>
      </c>
      <c r="W215" s="107">
        <v>0.0</v>
      </c>
      <c r="X215" s="107">
        <v>2.0</v>
      </c>
      <c r="Y215" s="107">
        <v>0.0</v>
      </c>
      <c r="Z215" s="107">
        <v>0.0</v>
      </c>
      <c r="AA215" s="109"/>
      <c r="AB215" s="125">
        <v>2.0</v>
      </c>
      <c r="AC215" s="100"/>
      <c r="AD215" s="119"/>
    </row>
    <row r="216">
      <c r="A216" s="106" t="s">
        <v>278</v>
      </c>
      <c r="B216" s="107">
        <v>3.0</v>
      </c>
      <c r="C216" s="107">
        <v>2.0</v>
      </c>
      <c r="D216" s="107">
        <v>3.0</v>
      </c>
      <c r="E216" s="107">
        <v>3.0</v>
      </c>
      <c r="F216" s="107">
        <v>1.0</v>
      </c>
      <c r="G216" s="107">
        <v>1.0</v>
      </c>
      <c r="H216" s="107">
        <v>0.0</v>
      </c>
      <c r="I216" s="107">
        <v>0.0</v>
      </c>
      <c r="J216" s="107">
        <v>0.0</v>
      </c>
      <c r="K216" s="107">
        <v>0.0</v>
      </c>
      <c r="L216" s="107">
        <v>0.0</v>
      </c>
      <c r="M216" s="107">
        <v>0.0</v>
      </c>
      <c r="N216" s="107">
        <v>0.0</v>
      </c>
      <c r="O216" s="107">
        <v>1.0</v>
      </c>
      <c r="P216" s="107">
        <v>1.333</v>
      </c>
      <c r="Q216" s="107">
        <v>0.0</v>
      </c>
      <c r="R216" s="106" t="s">
        <v>279</v>
      </c>
      <c r="S216" s="112">
        <v>2.1</v>
      </c>
      <c r="T216" s="112">
        <v>3.0</v>
      </c>
      <c r="U216" s="112">
        <v>2.0</v>
      </c>
      <c r="V216" s="112">
        <v>0.0</v>
      </c>
      <c r="W216" s="112">
        <v>0.0</v>
      </c>
      <c r="X216" s="112">
        <v>3.0</v>
      </c>
      <c r="Y216" s="112">
        <v>0.0</v>
      </c>
      <c r="Z216" s="112">
        <v>0.0</v>
      </c>
      <c r="AA216" s="114"/>
      <c r="AB216" s="126">
        <v>3.0</v>
      </c>
      <c r="AC216" s="100">
        <v>1.0</v>
      </c>
      <c r="AD216" s="100" t="s">
        <v>51</v>
      </c>
    </row>
    <row r="217">
      <c r="A217" s="106" t="s">
        <v>280</v>
      </c>
      <c r="B217" s="112">
        <v>2.0</v>
      </c>
      <c r="C217" s="112">
        <v>0.0</v>
      </c>
      <c r="D217" s="112">
        <v>0.0</v>
      </c>
      <c r="E217" s="112">
        <v>0.0</v>
      </c>
      <c r="F217" s="112">
        <v>0.0</v>
      </c>
      <c r="G217" s="112">
        <v>0.0</v>
      </c>
      <c r="H217" s="112">
        <v>0.0</v>
      </c>
      <c r="I217" s="112">
        <v>0.0</v>
      </c>
      <c r="J217" s="112">
        <v>0.0</v>
      </c>
      <c r="K217" s="112">
        <v>1.0</v>
      </c>
      <c r="L217" s="112">
        <v>0.0</v>
      </c>
      <c r="M217" s="112">
        <v>1.0</v>
      </c>
      <c r="N217" s="112">
        <v>0.0</v>
      </c>
      <c r="O217" s="112">
        <v>0.0</v>
      </c>
      <c r="P217" s="112">
        <v>0.0</v>
      </c>
      <c r="Q217" s="112">
        <v>0.0</v>
      </c>
      <c r="R217" s="106" t="s">
        <v>281</v>
      </c>
      <c r="S217" s="107">
        <v>3.2</v>
      </c>
      <c r="T217" s="107">
        <v>2.0</v>
      </c>
      <c r="U217" s="107">
        <v>3.0</v>
      </c>
      <c r="V217" s="107">
        <v>1.0</v>
      </c>
      <c r="W217" s="107">
        <v>3.0</v>
      </c>
      <c r="X217" s="107">
        <v>1.0</v>
      </c>
      <c r="Y217" s="107">
        <v>0.0</v>
      </c>
      <c r="Z217" s="107">
        <v>1.909</v>
      </c>
      <c r="AA217" s="109"/>
      <c r="AB217" s="125">
        <v>4.0</v>
      </c>
      <c r="AC217" s="100">
        <v>2.0</v>
      </c>
      <c r="AD217" s="100" t="s">
        <v>50</v>
      </c>
    </row>
    <row r="218">
      <c r="A218" s="106" t="s">
        <v>282</v>
      </c>
      <c r="B218" s="107">
        <v>1.0</v>
      </c>
      <c r="C218" s="107">
        <v>1.0</v>
      </c>
      <c r="D218" s="107">
        <v>0.0</v>
      </c>
      <c r="E218" s="107">
        <v>0.0</v>
      </c>
      <c r="F218" s="107">
        <v>0.0</v>
      </c>
      <c r="G218" s="107">
        <v>0.0</v>
      </c>
      <c r="H218" s="107">
        <v>0.0</v>
      </c>
      <c r="I218" s="107">
        <v>0.0</v>
      </c>
      <c r="J218" s="107">
        <v>0.0</v>
      </c>
      <c r="K218" s="107">
        <v>0.0</v>
      </c>
      <c r="L218" s="107">
        <v>0.0</v>
      </c>
      <c r="M218" s="107">
        <v>0.0</v>
      </c>
      <c r="N218" s="107">
        <v>1.0</v>
      </c>
      <c r="O218" s="107">
        <v>0.5</v>
      </c>
      <c r="P218" s="107">
        <v>0.0</v>
      </c>
      <c r="Q218" s="107">
        <v>0.0</v>
      </c>
      <c r="R218" s="120" t="s">
        <v>99</v>
      </c>
      <c r="S218" s="112">
        <v>7.0</v>
      </c>
      <c r="T218" s="112">
        <v>7.0</v>
      </c>
      <c r="U218" s="112">
        <v>5.0</v>
      </c>
      <c r="V218" s="112">
        <v>1.0</v>
      </c>
      <c r="W218" s="112">
        <v>3.0</v>
      </c>
      <c r="X218" s="112">
        <v>6.0</v>
      </c>
      <c r="Y218" s="112">
        <v>0.0</v>
      </c>
      <c r="Z218" s="112">
        <v>1.0</v>
      </c>
      <c r="AA218" s="114"/>
      <c r="AB218" s="126">
        <v>5.0</v>
      </c>
      <c r="AC218" s="100">
        <v>1.0</v>
      </c>
      <c r="AD218" s="100" t="s">
        <v>51</v>
      </c>
    </row>
    <row r="219">
      <c r="A219" s="106" t="s">
        <v>283</v>
      </c>
      <c r="B219" s="112">
        <v>3.0</v>
      </c>
      <c r="C219" s="112">
        <v>3.0</v>
      </c>
      <c r="D219" s="112">
        <v>2.0</v>
      </c>
      <c r="E219" s="112">
        <v>5.0</v>
      </c>
      <c r="F219" s="112">
        <v>0.667</v>
      </c>
      <c r="G219" s="112">
        <v>0.0</v>
      </c>
      <c r="H219" s="112">
        <v>0.0</v>
      </c>
      <c r="I219" s="112">
        <v>2.0</v>
      </c>
      <c r="J219" s="112">
        <v>1.0</v>
      </c>
      <c r="K219" s="112">
        <v>0.0</v>
      </c>
      <c r="L219" s="112">
        <v>0.0</v>
      </c>
      <c r="M219" s="112">
        <v>0.0</v>
      </c>
      <c r="N219" s="112">
        <v>0.0</v>
      </c>
      <c r="O219" s="112">
        <v>0.75</v>
      </c>
      <c r="P219" s="112">
        <v>2.667</v>
      </c>
      <c r="Q219" s="112">
        <v>1.0</v>
      </c>
      <c r="AB219" s="125">
        <v>6.0</v>
      </c>
      <c r="AC219" s="100">
        <v>1.0</v>
      </c>
      <c r="AD219" s="100" t="s">
        <v>53</v>
      </c>
    </row>
    <row r="220">
      <c r="A220" s="106" t="s">
        <v>284</v>
      </c>
      <c r="B220" s="107">
        <v>3.0</v>
      </c>
      <c r="C220" s="107">
        <v>1.0</v>
      </c>
      <c r="D220" s="107">
        <v>2.0</v>
      </c>
      <c r="E220" s="107">
        <v>2.0</v>
      </c>
      <c r="F220" s="107">
        <v>0.667</v>
      </c>
      <c r="G220" s="107">
        <v>1.0</v>
      </c>
      <c r="H220" s="107">
        <v>0.0</v>
      </c>
      <c r="I220" s="107">
        <v>0.0</v>
      </c>
      <c r="J220" s="107">
        <v>0.0</v>
      </c>
      <c r="K220" s="107">
        <v>1.0</v>
      </c>
      <c r="L220" s="107">
        <v>1.0</v>
      </c>
      <c r="M220" s="107">
        <v>0.0</v>
      </c>
      <c r="N220" s="107">
        <v>0.0</v>
      </c>
      <c r="O220" s="107">
        <v>0.5</v>
      </c>
      <c r="P220" s="107">
        <v>1.0</v>
      </c>
      <c r="Q220" s="107">
        <v>0.0</v>
      </c>
      <c r="AB220" s="127">
        <v>7.0</v>
      </c>
      <c r="AD220" s="119"/>
    </row>
    <row r="221">
      <c r="A221" s="106" t="s">
        <v>285</v>
      </c>
      <c r="B221" s="112">
        <v>3.0</v>
      </c>
      <c r="C221" s="112">
        <v>1.0</v>
      </c>
      <c r="D221" s="112">
        <v>3.0</v>
      </c>
      <c r="E221" s="112">
        <v>0.0</v>
      </c>
      <c r="F221" s="112">
        <v>1.0</v>
      </c>
      <c r="G221" s="112">
        <v>0.0</v>
      </c>
      <c r="H221" s="112">
        <v>0.0</v>
      </c>
      <c r="I221" s="112">
        <v>0.0</v>
      </c>
      <c r="J221" s="112">
        <v>1.0</v>
      </c>
      <c r="K221" s="112">
        <v>0.0</v>
      </c>
      <c r="L221" s="112">
        <v>0.0</v>
      </c>
      <c r="M221" s="112">
        <v>0.0</v>
      </c>
      <c r="N221" s="112">
        <v>0.0</v>
      </c>
      <c r="O221" s="112">
        <v>1.0</v>
      </c>
      <c r="P221" s="112">
        <v>1.0</v>
      </c>
      <c r="Q221" s="112">
        <v>2.0</v>
      </c>
      <c r="AD221" s="119"/>
    </row>
    <row r="222">
      <c r="A222" s="106" t="s">
        <v>286</v>
      </c>
      <c r="B222" s="107">
        <v>3.0</v>
      </c>
      <c r="C222" s="107">
        <v>2.0</v>
      </c>
      <c r="D222" s="107">
        <v>3.0</v>
      </c>
      <c r="E222" s="107">
        <v>0.0</v>
      </c>
      <c r="F222" s="107">
        <v>1.0</v>
      </c>
      <c r="G222" s="107">
        <v>0.0</v>
      </c>
      <c r="H222" s="107">
        <v>1.0</v>
      </c>
      <c r="I222" s="107">
        <v>0.0</v>
      </c>
      <c r="J222" s="107">
        <v>1.0</v>
      </c>
      <c r="K222" s="107">
        <v>0.0</v>
      </c>
      <c r="L222" s="107">
        <v>0.0</v>
      </c>
      <c r="M222" s="107">
        <v>0.0</v>
      </c>
      <c r="N222" s="107">
        <v>0.0</v>
      </c>
      <c r="O222" s="107">
        <v>1.0</v>
      </c>
      <c r="P222" s="107">
        <v>1.667</v>
      </c>
      <c r="Q222" s="107">
        <v>3.0</v>
      </c>
      <c r="AD222" s="119"/>
    </row>
    <row r="223">
      <c r="A223" s="106" t="s">
        <v>287</v>
      </c>
      <c r="B223" s="112">
        <v>4.0</v>
      </c>
      <c r="C223" s="112">
        <v>1.0</v>
      </c>
      <c r="D223" s="112">
        <v>1.0</v>
      </c>
      <c r="E223" s="112">
        <v>0.0</v>
      </c>
      <c r="F223" s="112">
        <v>0.25</v>
      </c>
      <c r="G223" s="112">
        <v>0.0</v>
      </c>
      <c r="H223" s="112">
        <v>0.0</v>
      </c>
      <c r="I223" s="112">
        <v>0.0</v>
      </c>
      <c r="J223" s="112">
        <v>0.0</v>
      </c>
      <c r="K223" s="112">
        <v>0.0</v>
      </c>
      <c r="L223" s="112">
        <v>0.0</v>
      </c>
      <c r="M223" s="112">
        <v>0.0</v>
      </c>
      <c r="N223" s="112">
        <v>0.0</v>
      </c>
      <c r="O223" s="112">
        <v>0.25</v>
      </c>
      <c r="P223" s="112">
        <v>0.25</v>
      </c>
      <c r="Q223" s="112">
        <v>0.0</v>
      </c>
      <c r="AD223" s="119"/>
    </row>
    <row r="224">
      <c r="A224" s="106" t="s">
        <v>288</v>
      </c>
      <c r="B224" s="107">
        <v>2.0</v>
      </c>
      <c r="C224" s="107">
        <v>0.0</v>
      </c>
      <c r="D224" s="107">
        <v>0.0</v>
      </c>
      <c r="E224" s="107">
        <v>0.0</v>
      </c>
      <c r="F224" s="107">
        <v>0.0</v>
      </c>
      <c r="G224" s="107">
        <v>0.0</v>
      </c>
      <c r="H224" s="107">
        <v>0.0</v>
      </c>
      <c r="I224" s="107">
        <v>0.0</v>
      </c>
      <c r="J224" s="107">
        <v>0.0</v>
      </c>
      <c r="K224" s="107">
        <v>1.0</v>
      </c>
      <c r="L224" s="107">
        <v>0.0</v>
      </c>
      <c r="M224" s="107">
        <v>0.0</v>
      </c>
      <c r="N224" s="107">
        <v>0.0</v>
      </c>
      <c r="O224" s="107">
        <v>0.0</v>
      </c>
      <c r="P224" s="107">
        <v>0.0</v>
      </c>
      <c r="Q224" s="107">
        <v>0.0</v>
      </c>
      <c r="AD224" s="119"/>
    </row>
    <row r="225">
      <c r="A225" s="106" t="s">
        <v>289</v>
      </c>
      <c r="B225" s="112">
        <v>3.0</v>
      </c>
      <c r="C225" s="112">
        <v>1.0</v>
      </c>
      <c r="D225" s="112">
        <v>1.0</v>
      </c>
      <c r="E225" s="112">
        <v>1.0</v>
      </c>
      <c r="F225" s="112">
        <v>0.333</v>
      </c>
      <c r="G225" s="112">
        <v>0.0</v>
      </c>
      <c r="H225" s="112">
        <v>0.0</v>
      </c>
      <c r="I225" s="112">
        <v>0.0</v>
      </c>
      <c r="J225" s="112">
        <v>1.0</v>
      </c>
      <c r="K225" s="112">
        <v>0.0</v>
      </c>
      <c r="L225" s="112">
        <v>0.0</v>
      </c>
      <c r="M225" s="112">
        <v>0.0</v>
      </c>
      <c r="N225" s="112">
        <v>0.0</v>
      </c>
      <c r="O225" s="112">
        <v>0.5</v>
      </c>
      <c r="P225" s="112">
        <v>0.333</v>
      </c>
      <c r="Q225" s="112">
        <v>0.0</v>
      </c>
      <c r="AD225" s="119"/>
    </row>
    <row r="226">
      <c r="A226" s="106" t="s">
        <v>290</v>
      </c>
      <c r="B226" s="107">
        <v>1.0</v>
      </c>
      <c r="C226" s="107">
        <v>0.0</v>
      </c>
      <c r="D226" s="107">
        <v>0.0</v>
      </c>
      <c r="E226" s="107">
        <v>0.0</v>
      </c>
      <c r="F226" s="107">
        <v>0.0</v>
      </c>
      <c r="G226" s="107">
        <v>0.0</v>
      </c>
      <c r="H226" s="107">
        <v>0.0</v>
      </c>
      <c r="I226" s="107">
        <v>0.0</v>
      </c>
      <c r="J226" s="107">
        <v>0.0</v>
      </c>
      <c r="K226" s="107">
        <v>1.0</v>
      </c>
      <c r="L226" s="107">
        <v>0.0</v>
      </c>
      <c r="M226" s="107">
        <v>0.0</v>
      </c>
      <c r="N226" s="107">
        <v>0.0</v>
      </c>
      <c r="O226" s="107">
        <v>0.0</v>
      </c>
      <c r="P226" s="107">
        <v>0.0</v>
      </c>
      <c r="Q226" s="107">
        <v>0.0</v>
      </c>
      <c r="AD226" s="119"/>
    </row>
    <row r="227">
      <c r="A227" s="120" t="s">
        <v>99</v>
      </c>
      <c r="B227" s="112">
        <v>28.0</v>
      </c>
      <c r="C227" s="112">
        <v>12.0</v>
      </c>
      <c r="D227" s="112">
        <v>15.0</v>
      </c>
      <c r="E227" s="112">
        <v>11.0</v>
      </c>
      <c r="F227" s="112">
        <v>0.536</v>
      </c>
      <c r="G227" s="112">
        <v>2.0</v>
      </c>
      <c r="H227" s="112">
        <v>1.0</v>
      </c>
      <c r="I227" s="112">
        <v>2.0</v>
      </c>
      <c r="J227" s="112">
        <v>4.0</v>
      </c>
      <c r="K227" s="112">
        <v>4.0</v>
      </c>
      <c r="L227" s="112">
        <v>1.0</v>
      </c>
      <c r="M227" s="112">
        <v>1.0</v>
      </c>
      <c r="N227" s="112">
        <v>1.0</v>
      </c>
      <c r="O227" s="112">
        <v>0.588</v>
      </c>
      <c r="P227" s="112">
        <v>0.893</v>
      </c>
      <c r="Q227" s="112">
        <v>6.0</v>
      </c>
      <c r="AD227" s="119"/>
    </row>
    <row r="228">
      <c r="A228" s="118"/>
      <c r="AD228" s="119"/>
    </row>
    <row r="229">
      <c r="A229" s="98" t="s">
        <v>84</v>
      </c>
      <c r="Q229" s="99"/>
      <c r="AB229" s="124">
        <v>1.0</v>
      </c>
      <c r="AC229" s="100">
        <v>1.0</v>
      </c>
      <c r="AD229" s="100" t="s">
        <v>40</v>
      </c>
    </row>
    <row r="230">
      <c r="A230" s="101" t="s">
        <v>87</v>
      </c>
      <c r="B230" s="102" t="s">
        <v>3</v>
      </c>
      <c r="C230" s="102" t="s">
        <v>63</v>
      </c>
      <c r="D230" s="102" t="s">
        <v>62</v>
      </c>
      <c r="E230" s="102" t="s">
        <v>6</v>
      </c>
      <c r="F230" s="102" t="s">
        <v>18</v>
      </c>
      <c r="G230" s="102" t="s">
        <v>8</v>
      </c>
      <c r="H230" s="102" t="s">
        <v>9</v>
      </c>
      <c r="I230" s="102" t="s">
        <v>10</v>
      </c>
      <c r="J230" s="102" t="s">
        <v>12</v>
      </c>
      <c r="K230" s="102" t="s">
        <v>88</v>
      </c>
      <c r="L230" s="102" t="s">
        <v>15</v>
      </c>
      <c r="M230" s="102" t="s">
        <v>16</v>
      </c>
      <c r="N230" s="102" t="s">
        <v>14</v>
      </c>
      <c r="O230" s="102" t="s">
        <v>19</v>
      </c>
      <c r="P230" s="102" t="s">
        <v>20</v>
      </c>
      <c r="Q230" s="102" t="s">
        <v>11</v>
      </c>
      <c r="R230" s="101" t="s">
        <v>89</v>
      </c>
      <c r="S230" s="102" t="s">
        <v>61</v>
      </c>
      <c r="T230" s="102" t="s">
        <v>62</v>
      </c>
      <c r="U230" s="102" t="s">
        <v>63</v>
      </c>
      <c r="V230" s="102" t="s">
        <v>64</v>
      </c>
      <c r="W230" s="102" t="s">
        <v>12</v>
      </c>
      <c r="X230" s="102" t="s">
        <v>88</v>
      </c>
      <c r="Y230" s="102" t="s">
        <v>10</v>
      </c>
      <c r="Z230" s="102" t="s">
        <v>70</v>
      </c>
      <c r="AA230" s="103"/>
      <c r="AB230" s="125">
        <v>2.0</v>
      </c>
      <c r="AC230" s="100">
        <v>2.0</v>
      </c>
      <c r="AD230" s="100" t="s">
        <v>44</v>
      </c>
    </row>
    <row r="231">
      <c r="A231" s="106" t="s">
        <v>291</v>
      </c>
      <c r="B231" s="107">
        <v>1.0</v>
      </c>
      <c r="C231" s="107">
        <v>0.0</v>
      </c>
      <c r="D231" s="107">
        <v>0.0</v>
      </c>
      <c r="E231" s="107">
        <v>0.0</v>
      </c>
      <c r="F231" s="107">
        <v>0.0</v>
      </c>
      <c r="G231" s="107">
        <v>0.0</v>
      </c>
      <c r="H231" s="107">
        <v>0.0</v>
      </c>
      <c r="I231" s="107">
        <v>0.0</v>
      </c>
      <c r="J231" s="107">
        <v>0.0</v>
      </c>
      <c r="K231" s="107">
        <v>0.0</v>
      </c>
      <c r="L231" s="107">
        <v>0.0</v>
      </c>
      <c r="M231" s="107">
        <v>2.0</v>
      </c>
      <c r="N231" s="107">
        <v>0.0</v>
      </c>
      <c r="O231" s="107">
        <v>0.0</v>
      </c>
      <c r="P231" s="107">
        <v>0.0</v>
      </c>
      <c r="Q231" s="107">
        <v>0.0</v>
      </c>
      <c r="R231" s="106" t="s">
        <v>292</v>
      </c>
      <c r="S231" s="107">
        <v>6.0</v>
      </c>
      <c r="T231" s="107">
        <v>3.0</v>
      </c>
      <c r="U231" s="107">
        <v>2.0</v>
      </c>
      <c r="V231" s="107">
        <v>1.0</v>
      </c>
      <c r="W231" s="107">
        <v>2.0</v>
      </c>
      <c r="X231" s="107">
        <v>4.0</v>
      </c>
      <c r="Y231" s="107">
        <v>0.0</v>
      </c>
      <c r="Z231" s="107">
        <v>1.167</v>
      </c>
      <c r="AA231" s="109"/>
      <c r="AB231" s="126">
        <v>3.0</v>
      </c>
      <c r="AD231" s="119"/>
    </row>
    <row r="232">
      <c r="A232" s="106" t="s">
        <v>293</v>
      </c>
      <c r="B232" s="112">
        <v>2.0</v>
      </c>
      <c r="C232" s="112">
        <v>1.0</v>
      </c>
      <c r="D232" s="112">
        <v>0.0</v>
      </c>
      <c r="E232" s="112">
        <v>0.0</v>
      </c>
      <c r="F232" s="112">
        <v>0.0</v>
      </c>
      <c r="G232" s="112">
        <v>0.0</v>
      </c>
      <c r="H232" s="112">
        <v>0.0</v>
      </c>
      <c r="I232" s="112">
        <v>0.0</v>
      </c>
      <c r="J232" s="112">
        <v>2.0</v>
      </c>
      <c r="K232" s="112">
        <v>1.0</v>
      </c>
      <c r="L232" s="112">
        <v>0.0</v>
      </c>
      <c r="M232" s="112">
        <v>0.0</v>
      </c>
      <c r="N232" s="112">
        <v>0.0</v>
      </c>
      <c r="O232" s="112">
        <v>0.5</v>
      </c>
      <c r="P232" s="112">
        <v>0.0</v>
      </c>
      <c r="Q232" s="112">
        <v>0.0</v>
      </c>
      <c r="R232" s="106" t="s">
        <v>294</v>
      </c>
      <c r="S232" s="112">
        <v>1.0</v>
      </c>
      <c r="T232" s="112">
        <v>4.0</v>
      </c>
      <c r="U232" s="112">
        <v>5.0</v>
      </c>
      <c r="V232" s="112">
        <v>5.0</v>
      </c>
      <c r="W232" s="112">
        <v>1.0</v>
      </c>
      <c r="X232" s="112">
        <v>0.0</v>
      </c>
      <c r="Y232" s="112">
        <v>0.0</v>
      </c>
      <c r="Z232" s="112">
        <v>35.0</v>
      </c>
      <c r="AA232" s="114"/>
      <c r="AB232" s="125">
        <v>4.0</v>
      </c>
      <c r="AD232" s="119"/>
    </row>
    <row r="233">
      <c r="A233" s="106" t="s">
        <v>295</v>
      </c>
      <c r="B233" s="107">
        <v>4.0</v>
      </c>
      <c r="C233" s="107">
        <v>2.0</v>
      </c>
      <c r="D233" s="107">
        <v>2.0</v>
      </c>
      <c r="E233" s="107">
        <v>1.0</v>
      </c>
      <c r="F233" s="107">
        <v>0.5</v>
      </c>
      <c r="G233" s="107">
        <v>2.0</v>
      </c>
      <c r="H233" s="107">
        <v>0.0</v>
      </c>
      <c r="I233" s="107">
        <v>0.0</v>
      </c>
      <c r="J233" s="107">
        <v>0.0</v>
      </c>
      <c r="K233" s="107">
        <v>0.0</v>
      </c>
      <c r="L233" s="107">
        <v>0.0</v>
      </c>
      <c r="M233" s="107">
        <v>0.0</v>
      </c>
      <c r="N233" s="107">
        <v>0.0</v>
      </c>
      <c r="O233" s="107">
        <v>0.5</v>
      </c>
      <c r="P233" s="107">
        <v>1.0</v>
      </c>
      <c r="Q233" s="107">
        <v>0.0</v>
      </c>
      <c r="R233" s="117" t="s">
        <v>99</v>
      </c>
      <c r="S233" s="107">
        <v>7.0</v>
      </c>
      <c r="T233" s="107">
        <v>7.0</v>
      </c>
      <c r="U233" s="107">
        <v>7.0</v>
      </c>
      <c r="V233" s="107">
        <v>6.0</v>
      </c>
      <c r="W233" s="107">
        <v>3.0</v>
      </c>
      <c r="X233" s="107">
        <v>4.0</v>
      </c>
      <c r="Y233" s="107">
        <v>0.0</v>
      </c>
      <c r="Z233" s="107">
        <v>6.0</v>
      </c>
      <c r="AA233" s="109"/>
      <c r="AB233" s="126">
        <v>5.0</v>
      </c>
      <c r="AC233" s="100">
        <v>1.0</v>
      </c>
      <c r="AD233" s="100" t="s">
        <v>50</v>
      </c>
    </row>
    <row r="234">
      <c r="A234" s="106" t="s">
        <v>296</v>
      </c>
      <c r="B234" s="112">
        <v>2.0</v>
      </c>
      <c r="C234" s="112">
        <v>1.0</v>
      </c>
      <c r="D234" s="112">
        <v>1.0</v>
      </c>
      <c r="E234" s="112">
        <v>0.0</v>
      </c>
      <c r="F234" s="112">
        <v>0.5</v>
      </c>
      <c r="G234" s="112">
        <v>0.0</v>
      </c>
      <c r="H234" s="112">
        <v>0.0</v>
      </c>
      <c r="I234" s="112">
        <v>0.0</v>
      </c>
      <c r="J234" s="112">
        <v>0.0</v>
      </c>
      <c r="K234" s="112">
        <v>0.0</v>
      </c>
      <c r="L234" s="112">
        <v>0.0</v>
      </c>
      <c r="M234" s="112">
        <v>0.0</v>
      </c>
      <c r="N234" s="112">
        <v>0.0</v>
      </c>
      <c r="O234" s="112">
        <v>0.5</v>
      </c>
      <c r="P234" s="112">
        <v>0.5</v>
      </c>
      <c r="Q234" s="112">
        <v>0.0</v>
      </c>
      <c r="R234" s="118"/>
      <c r="AB234" s="125">
        <v>6.0</v>
      </c>
      <c r="AC234" s="100">
        <v>1.0</v>
      </c>
      <c r="AD234" s="100" t="s">
        <v>44</v>
      </c>
    </row>
    <row r="235">
      <c r="A235" s="106" t="s">
        <v>297</v>
      </c>
      <c r="B235" s="107">
        <v>2.0</v>
      </c>
      <c r="C235" s="107">
        <v>1.0</v>
      </c>
      <c r="D235" s="107">
        <v>1.0</v>
      </c>
      <c r="E235" s="107">
        <v>0.0</v>
      </c>
      <c r="F235" s="107">
        <v>0.5</v>
      </c>
      <c r="G235" s="107">
        <v>0.0</v>
      </c>
      <c r="H235" s="107">
        <v>0.0</v>
      </c>
      <c r="I235" s="107">
        <v>0.0</v>
      </c>
      <c r="J235" s="107">
        <v>0.0</v>
      </c>
      <c r="K235" s="107">
        <v>1.0</v>
      </c>
      <c r="L235" s="107">
        <v>0.0</v>
      </c>
      <c r="M235" s="107">
        <v>0.0</v>
      </c>
      <c r="N235" s="107">
        <v>1.0</v>
      </c>
      <c r="O235" s="107">
        <v>0.667</v>
      </c>
      <c r="P235" s="107">
        <v>0.5</v>
      </c>
      <c r="Q235" s="107">
        <v>0.0</v>
      </c>
      <c r="AB235" s="127">
        <v>7.0</v>
      </c>
      <c r="AD235" s="119"/>
    </row>
    <row r="236">
      <c r="A236" s="106" t="s">
        <v>298</v>
      </c>
      <c r="B236" s="112">
        <v>4.0</v>
      </c>
      <c r="C236" s="112">
        <v>0.0</v>
      </c>
      <c r="D236" s="112">
        <v>1.0</v>
      </c>
      <c r="E236" s="112">
        <v>0.0</v>
      </c>
      <c r="F236" s="112">
        <v>0.25</v>
      </c>
      <c r="G236" s="112">
        <v>0.0</v>
      </c>
      <c r="H236" s="112">
        <v>0.0</v>
      </c>
      <c r="I236" s="112">
        <v>0.0</v>
      </c>
      <c r="J236" s="112">
        <v>0.0</v>
      </c>
      <c r="K236" s="112">
        <v>2.0</v>
      </c>
      <c r="L236" s="112">
        <v>0.0</v>
      </c>
      <c r="M236" s="112">
        <v>0.0</v>
      </c>
      <c r="N236" s="112">
        <v>0.0</v>
      </c>
      <c r="O236" s="112">
        <v>0.25</v>
      </c>
      <c r="P236" s="112">
        <v>0.25</v>
      </c>
      <c r="Q236" s="112">
        <v>1.0</v>
      </c>
      <c r="AD236" s="119"/>
    </row>
    <row r="237">
      <c r="A237" s="106" t="s">
        <v>299</v>
      </c>
      <c r="B237" s="107">
        <v>4.0</v>
      </c>
      <c r="C237" s="107">
        <v>0.0</v>
      </c>
      <c r="D237" s="107">
        <v>2.0</v>
      </c>
      <c r="E237" s="107">
        <v>1.0</v>
      </c>
      <c r="F237" s="107">
        <v>0.5</v>
      </c>
      <c r="G237" s="107">
        <v>0.0</v>
      </c>
      <c r="H237" s="107">
        <v>0.0</v>
      </c>
      <c r="I237" s="107">
        <v>0.0</v>
      </c>
      <c r="J237" s="107">
        <v>0.0</v>
      </c>
      <c r="K237" s="107">
        <v>0.0</v>
      </c>
      <c r="L237" s="107">
        <v>0.0</v>
      </c>
      <c r="M237" s="107">
        <v>0.0</v>
      </c>
      <c r="N237" s="107">
        <v>0.0</v>
      </c>
      <c r="O237" s="107">
        <v>0.5</v>
      </c>
      <c r="P237" s="107">
        <v>0.5</v>
      </c>
      <c r="Q237" s="107">
        <v>0.0</v>
      </c>
      <c r="AD237" s="119"/>
    </row>
    <row r="238">
      <c r="A238" s="106" t="s">
        <v>300</v>
      </c>
      <c r="B238" s="112">
        <v>3.0</v>
      </c>
      <c r="C238" s="112">
        <v>1.0</v>
      </c>
      <c r="D238" s="112">
        <v>1.0</v>
      </c>
      <c r="E238" s="112">
        <v>1.0</v>
      </c>
      <c r="F238" s="112">
        <v>0.333</v>
      </c>
      <c r="G238" s="112">
        <v>0.0</v>
      </c>
      <c r="H238" s="112">
        <v>1.0</v>
      </c>
      <c r="I238" s="112">
        <v>0.0</v>
      </c>
      <c r="J238" s="112">
        <v>0.0</v>
      </c>
      <c r="K238" s="112">
        <v>0.0</v>
      </c>
      <c r="L238" s="112">
        <v>0.0</v>
      </c>
      <c r="M238" s="112">
        <v>0.0</v>
      </c>
      <c r="N238" s="112">
        <v>0.0</v>
      </c>
      <c r="O238" s="112">
        <v>0.333</v>
      </c>
      <c r="P238" s="112">
        <v>1.0</v>
      </c>
      <c r="Q238" s="112">
        <v>0.0</v>
      </c>
      <c r="AD238" s="119"/>
    </row>
    <row r="239">
      <c r="A239" s="106" t="s">
        <v>301</v>
      </c>
      <c r="B239" s="107">
        <v>4.0</v>
      </c>
      <c r="C239" s="107">
        <v>1.0</v>
      </c>
      <c r="D239" s="107">
        <v>3.0</v>
      </c>
      <c r="E239" s="107">
        <v>4.0</v>
      </c>
      <c r="F239" s="107">
        <v>0.75</v>
      </c>
      <c r="G239" s="107">
        <v>0.0</v>
      </c>
      <c r="H239" s="107">
        <v>1.0</v>
      </c>
      <c r="I239" s="107">
        <v>1.0</v>
      </c>
      <c r="J239" s="107">
        <v>0.0</v>
      </c>
      <c r="K239" s="107">
        <v>0.0</v>
      </c>
      <c r="L239" s="107">
        <v>0.0</v>
      </c>
      <c r="M239" s="107">
        <v>0.0</v>
      </c>
      <c r="N239" s="107">
        <v>0.0</v>
      </c>
      <c r="O239" s="107">
        <v>0.75</v>
      </c>
      <c r="P239" s="107">
        <v>2.0</v>
      </c>
      <c r="Q239" s="107">
        <v>0.0</v>
      </c>
      <c r="AD239" s="119"/>
    </row>
    <row r="240">
      <c r="A240" s="106" t="s">
        <v>302</v>
      </c>
      <c r="B240" s="112">
        <v>0.0</v>
      </c>
      <c r="C240" s="112">
        <v>1.0</v>
      </c>
      <c r="D240" s="112">
        <v>0.0</v>
      </c>
      <c r="E240" s="112">
        <v>0.0</v>
      </c>
      <c r="F240" s="112">
        <v>0.0</v>
      </c>
      <c r="G240" s="112">
        <v>0.0</v>
      </c>
      <c r="H240" s="112">
        <v>0.0</v>
      </c>
      <c r="I240" s="112">
        <v>0.0</v>
      </c>
      <c r="J240" s="112">
        <v>0.0</v>
      </c>
      <c r="K240" s="112">
        <v>0.0</v>
      </c>
      <c r="L240" s="112">
        <v>0.0</v>
      </c>
      <c r="M240" s="112">
        <v>0.0</v>
      </c>
      <c r="N240" s="112">
        <v>0.0</v>
      </c>
      <c r="O240" s="112">
        <v>0.0</v>
      </c>
      <c r="P240" s="112">
        <v>0.0</v>
      </c>
      <c r="Q240" s="112">
        <v>0.0</v>
      </c>
      <c r="AD240" s="119"/>
    </row>
    <row r="241">
      <c r="A241" s="106" t="s">
        <v>303</v>
      </c>
      <c r="B241" s="107">
        <v>1.0</v>
      </c>
      <c r="C241" s="107">
        <v>1.0</v>
      </c>
      <c r="D241" s="107">
        <v>1.0</v>
      </c>
      <c r="E241" s="107">
        <v>0.0</v>
      </c>
      <c r="F241" s="107">
        <v>1.0</v>
      </c>
      <c r="G241" s="107">
        <v>0.0</v>
      </c>
      <c r="H241" s="107">
        <v>0.0</v>
      </c>
      <c r="I241" s="107">
        <v>0.0</v>
      </c>
      <c r="J241" s="107">
        <v>0.0</v>
      </c>
      <c r="K241" s="107">
        <v>0.0</v>
      </c>
      <c r="L241" s="107">
        <v>0.0</v>
      </c>
      <c r="M241" s="107">
        <v>0.0</v>
      </c>
      <c r="N241" s="107">
        <v>0.0</v>
      </c>
      <c r="O241" s="107">
        <v>1.0</v>
      </c>
      <c r="P241" s="107">
        <v>1.0</v>
      </c>
      <c r="Q241" s="107">
        <v>0.0</v>
      </c>
      <c r="AD241" s="119"/>
    </row>
    <row r="242">
      <c r="A242" s="120" t="s">
        <v>99</v>
      </c>
      <c r="B242" s="112">
        <v>27.0</v>
      </c>
      <c r="C242" s="112">
        <v>9.0</v>
      </c>
      <c r="D242" s="112">
        <v>12.0</v>
      </c>
      <c r="E242" s="112">
        <v>7.0</v>
      </c>
      <c r="F242" s="112">
        <v>0.444</v>
      </c>
      <c r="G242" s="112">
        <v>2.0</v>
      </c>
      <c r="H242" s="112">
        <v>2.0</v>
      </c>
      <c r="I242" s="112">
        <v>1.0</v>
      </c>
      <c r="J242" s="112">
        <v>2.0</v>
      </c>
      <c r="K242" s="112">
        <v>4.0</v>
      </c>
      <c r="L242" s="112">
        <v>0.0</v>
      </c>
      <c r="M242" s="112">
        <v>2.0</v>
      </c>
      <c r="N242" s="112">
        <v>1.0</v>
      </c>
      <c r="O242" s="112">
        <v>0.5</v>
      </c>
      <c r="P242" s="112">
        <v>0.778</v>
      </c>
      <c r="Q242" s="112">
        <v>1.0</v>
      </c>
      <c r="AD242" s="119"/>
    </row>
    <row r="243">
      <c r="A243" s="118"/>
      <c r="AD243" s="119"/>
    </row>
    <row r="244">
      <c r="A244" s="98" t="s">
        <v>84</v>
      </c>
      <c r="Q244" s="99"/>
      <c r="R244" s="101" t="s">
        <v>89</v>
      </c>
      <c r="S244" s="102" t="s">
        <v>61</v>
      </c>
      <c r="T244" s="102" t="s">
        <v>62</v>
      </c>
      <c r="U244" s="102" t="s">
        <v>63</v>
      </c>
      <c r="V244" s="102" t="s">
        <v>64</v>
      </c>
      <c r="W244" s="102" t="s">
        <v>12</v>
      </c>
      <c r="X244" s="102" t="s">
        <v>88</v>
      </c>
      <c r="Y244" s="102" t="s">
        <v>10</v>
      </c>
      <c r="Z244" s="102" t="s">
        <v>70</v>
      </c>
      <c r="AA244" s="103"/>
      <c r="AB244" s="124">
        <v>1.0</v>
      </c>
      <c r="AC244" s="100">
        <v>2.0</v>
      </c>
      <c r="AD244" s="100" t="s">
        <v>41</v>
      </c>
    </row>
    <row r="245">
      <c r="A245" s="101" t="s">
        <v>87</v>
      </c>
      <c r="B245" s="102" t="s">
        <v>3</v>
      </c>
      <c r="C245" s="102" t="s">
        <v>63</v>
      </c>
      <c r="D245" s="102" t="s">
        <v>62</v>
      </c>
      <c r="E245" s="102" t="s">
        <v>6</v>
      </c>
      <c r="F245" s="102" t="s">
        <v>18</v>
      </c>
      <c r="G245" s="102" t="s">
        <v>8</v>
      </c>
      <c r="H245" s="102" t="s">
        <v>9</v>
      </c>
      <c r="I245" s="102" t="s">
        <v>10</v>
      </c>
      <c r="J245" s="102" t="s">
        <v>12</v>
      </c>
      <c r="K245" s="102" t="s">
        <v>88</v>
      </c>
      <c r="L245" s="102" t="s">
        <v>15</v>
      </c>
      <c r="M245" s="102" t="s">
        <v>16</v>
      </c>
      <c r="N245" s="102" t="s">
        <v>14</v>
      </c>
      <c r="O245" s="102" t="s">
        <v>19</v>
      </c>
      <c r="P245" s="102" t="s">
        <v>20</v>
      </c>
      <c r="Q245" s="102" t="s">
        <v>11</v>
      </c>
      <c r="R245" s="106" t="s">
        <v>304</v>
      </c>
      <c r="S245" s="107">
        <v>6.0</v>
      </c>
      <c r="T245" s="107">
        <v>3.0</v>
      </c>
      <c r="U245" s="107">
        <v>2.0</v>
      </c>
      <c r="V245" s="107">
        <v>2.0</v>
      </c>
      <c r="W245" s="107">
        <v>5.0</v>
      </c>
      <c r="X245" s="107">
        <v>5.0</v>
      </c>
      <c r="Y245" s="107">
        <v>0.0</v>
      </c>
      <c r="Z245" s="107">
        <v>2.333</v>
      </c>
      <c r="AA245" s="109"/>
      <c r="AB245" s="125">
        <v>2.0</v>
      </c>
      <c r="AC245" s="100">
        <v>1.0</v>
      </c>
      <c r="AD245" s="100" t="s">
        <v>42</v>
      </c>
    </row>
    <row r="246">
      <c r="A246" s="106" t="s">
        <v>305</v>
      </c>
      <c r="B246" s="107">
        <v>2.0</v>
      </c>
      <c r="C246" s="107">
        <v>0.0</v>
      </c>
      <c r="D246" s="107">
        <v>0.0</v>
      </c>
      <c r="E246" s="107">
        <v>0.0</v>
      </c>
      <c r="F246" s="107">
        <v>0.0</v>
      </c>
      <c r="G246" s="107">
        <v>0.0</v>
      </c>
      <c r="H246" s="107">
        <v>0.0</v>
      </c>
      <c r="I246" s="107">
        <v>0.0</v>
      </c>
      <c r="J246" s="107">
        <v>1.0</v>
      </c>
      <c r="K246" s="107">
        <v>0.0</v>
      </c>
      <c r="L246" s="107">
        <v>0.0</v>
      </c>
      <c r="M246" s="107">
        <v>0.0</v>
      </c>
      <c r="N246" s="107">
        <v>0.0</v>
      </c>
      <c r="O246" s="107">
        <v>0.333</v>
      </c>
      <c r="P246" s="107">
        <v>0.0</v>
      </c>
      <c r="Q246" s="107">
        <v>0.0</v>
      </c>
      <c r="R246" s="120" t="s">
        <v>99</v>
      </c>
      <c r="S246" s="112">
        <v>6.0</v>
      </c>
      <c r="T246" s="112">
        <v>3.0</v>
      </c>
      <c r="U246" s="112">
        <v>2.0</v>
      </c>
      <c r="V246" s="112">
        <v>2.0</v>
      </c>
      <c r="W246" s="112">
        <v>5.0</v>
      </c>
      <c r="X246" s="112">
        <v>5.0</v>
      </c>
      <c r="Y246" s="112">
        <v>0.0</v>
      </c>
      <c r="Z246" s="112">
        <v>2.333</v>
      </c>
      <c r="AA246" s="114"/>
      <c r="AB246" s="126">
        <v>3.0</v>
      </c>
      <c r="AC246" s="100">
        <v>1.0</v>
      </c>
      <c r="AD246" s="100" t="s">
        <v>40</v>
      </c>
    </row>
    <row r="247">
      <c r="A247" s="106" t="s">
        <v>306</v>
      </c>
      <c r="B247" s="112">
        <v>3.0</v>
      </c>
      <c r="C247" s="112">
        <v>0.0</v>
      </c>
      <c r="D247" s="112">
        <v>1.0</v>
      </c>
      <c r="E247" s="112">
        <v>0.0</v>
      </c>
      <c r="F247" s="112">
        <v>0.333</v>
      </c>
      <c r="G247" s="112">
        <v>0.0</v>
      </c>
      <c r="H247" s="112">
        <v>0.0</v>
      </c>
      <c r="I247" s="112">
        <v>0.0</v>
      </c>
      <c r="J247" s="112">
        <v>0.0</v>
      </c>
      <c r="K247" s="112">
        <v>1.0</v>
      </c>
      <c r="L247" s="112">
        <v>0.0</v>
      </c>
      <c r="M247" s="112">
        <v>0.0</v>
      </c>
      <c r="N247" s="112">
        <v>0.0</v>
      </c>
      <c r="O247" s="112">
        <v>0.333</v>
      </c>
      <c r="P247" s="112">
        <v>0.333</v>
      </c>
      <c r="Q247" s="112">
        <v>0.0</v>
      </c>
      <c r="R247" s="118"/>
      <c r="AB247" s="125">
        <v>4.0</v>
      </c>
      <c r="AD247" s="119"/>
    </row>
    <row r="248">
      <c r="A248" s="106" t="s">
        <v>307</v>
      </c>
      <c r="B248" s="107">
        <v>3.0</v>
      </c>
      <c r="C248" s="107">
        <v>0.0</v>
      </c>
      <c r="D248" s="107">
        <v>1.0</v>
      </c>
      <c r="E248" s="107">
        <v>0.0</v>
      </c>
      <c r="F248" s="107">
        <v>0.333</v>
      </c>
      <c r="G248" s="107">
        <v>0.0</v>
      </c>
      <c r="H248" s="107">
        <v>0.0</v>
      </c>
      <c r="I248" s="107">
        <v>0.0</v>
      </c>
      <c r="J248" s="107">
        <v>0.0</v>
      </c>
      <c r="K248" s="107">
        <v>1.0</v>
      </c>
      <c r="L248" s="107">
        <v>0.0</v>
      </c>
      <c r="M248" s="107">
        <v>0.0</v>
      </c>
      <c r="N248" s="107">
        <v>0.0</v>
      </c>
      <c r="O248" s="107">
        <v>0.333</v>
      </c>
      <c r="P248" s="107">
        <v>0.333</v>
      </c>
      <c r="Q248" s="107">
        <v>0.0</v>
      </c>
      <c r="AB248" s="126">
        <v>5.0</v>
      </c>
      <c r="AC248" s="100">
        <v>1.0</v>
      </c>
      <c r="AD248" s="100" t="s">
        <v>45</v>
      </c>
    </row>
    <row r="249">
      <c r="A249" s="106" t="s">
        <v>308</v>
      </c>
      <c r="B249" s="112">
        <v>1.0</v>
      </c>
      <c r="C249" s="112">
        <v>0.0</v>
      </c>
      <c r="D249" s="112">
        <v>0.0</v>
      </c>
      <c r="E249" s="112">
        <v>0.0</v>
      </c>
      <c r="F249" s="112">
        <v>0.0</v>
      </c>
      <c r="G249" s="112">
        <v>0.0</v>
      </c>
      <c r="H249" s="112">
        <v>0.0</v>
      </c>
      <c r="I249" s="112">
        <v>0.0</v>
      </c>
      <c r="J249" s="112">
        <v>1.0</v>
      </c>
      <c r="K249" s="112">
        <v>0.0</v>
      </c>
      <c r="L249" s="112">
        <v>0.0</v>
      </c>
      <c r="M249" s="112">
        <v>0.0</v>
      </c>
      <c r="N249" s="112">
        <v>0.0</v>
      </c>
      <c r="O249" s="112">
        <v>0.5</v>
      </c>
      <c r="P249" s="112">
        <v>0.0</v>
      </c>
      <c r="Q249" s="112">
        <v>1.0</v>
      </c>
      <c r="AB249" s="125">
        <v>6.0</v>
      </c>
      <c r="AC249" s="100">
        <v>1.0</v>
      </c>
      <c r="AD249" s="100" t="s">
        <v>46</v>
      </c>
    </row>
    <row r="250">
      <c r="A250" s="106" t="s">
        <v>309</v>
      </c>
      <c r="B250" s="107">
        <v>3.0</v>
      </c>
      <c r="C250" s="107">
        <v>0.0</v>
      </c>
      <c r="D250" s="107">
        <v>0.0</v>
      </c>
      <c r="E250" s="107">
        <v>0.0</v>
      </c>
      <c r="F250" s="107">
        <v>0.0</v>
      </c>
      <c r="G250" s="107">
        <v>0.0</v>
      </c>
      <c r="H250" s="107">
        <v>0.0</v>
      </c>
      <c r="I250" s="107">
        <v>0.0</v>
      </c>
      <c r="J250" s="107">
        <v>0.0</v>
      </c>
      <c r="K250" s="107">
        <v>0.0</v>
      </c>
      <c r="L250" s="107">
        <v>0.0</v>
      </c>
      <c r="M250" s="107">
        <v>0.0</v>
      </c>
      <c r="N250" s="107">
        <v>0.0</v>
      </c>
      <c r="O250" s="107">
        <v>0.0</v>
      </c>
      <c r="P250" s="107">
        <v>0.0</v>
      </c>
      <c r="Q250" s="107">
        <v>0.0</v>
      </c>
      <c r="AB250" s="127">
        <v>7.0</v>
      </c>
      <c r="AC250" s="100">
        <v>1.0</v>
      </c>
      <c r="AD250" s="100" t="s">
        <v>49</v>
      </c>
    </row>
    <row r="251">
      <c r="A251" s="106" t="s">
        <v>310</v>
      </c>
      <c r="B251" s="112">
        <v>3.0</v>
      </c>
      <c r="C251" s="112">
        <v>0.0</v>
      </c>
      <c r="D251" s="112">
        <v>1.0</v>
      </c>
      <c r="E251" s="112">
        <v>0.0</v>
      </c>
      <c r="F251" s="112">
        <v>0.333</v>
      </c>
      <c r="G251" s="112">
        <v>0.0</v>
      </c>
      <c r="H251" s="112">
        <v>0.0</v>
      </c>
      <c r="I251" s="112">
        <v>0.0</v>
      </c>
      <c r="J251" s="112">
        <v>0.0</v>
      </c>
      <c r="K251" s="112">
        <v>0.0</v>
      </c>
      <c r="L251" s="112">
        <v>0.0</v>
      </c>
      <c r="M251" s="112">
        <v>0.0</v>
      </c>
      <c r="N251" s="112">
        <v>1.0</v>
      </c>
      <c r="O251" s="112">
        <v>0.5</v>
      </c>
      <c r="P251" s="112">
        <v>0.333</v>
      </c>
      <c r="Q251" s="112">
        <v>0.0</v>
      </c>
      <c r="AD251" s="119"/>
    </row>
    <row r="252">
      <c r="A252" s="106" t="s">
        <v>311</v>
      </c>
      <c r="B252" s="107">
        <v>2.0</v>
      </c>
      <c r="C252" s="107">
        <v>0.0</v>
      </c>
      <c r="D252" s="107">
        <v>1.0</v>
      </c>
      <c r="E252" s="107">
        <v>0.0</v>
      </c>
      <c r="F252" s="107">
        <v>0.5</v>
      </c>
      <c r="G252" s="107">
        <v>0.0</v>
      </c>
      <c r="H252" s="107">
        <v>0.0</v>
      </c>
      <c r="I252" s="107">
        <v>0.0</v>
      </c>
      <c r="J252" s="107">
        <v>1.0</v>
      </c>
      <c r="K252" s="107">
        <v>0.0</v>
      </c>
      <c r="L252" s="107">
        <v>0.0</v>
      </c>
      <c r="M252" s="107">
        <v>0.0</v>
      </c>
      <c r="N252" s="107">
        <v>0.0</v>
      </c>
      <c r="O252" s="107">
        <v>0.667</v>
      </c>
      <c r="P252" s="107">
        <v>0.5</v>
      </c>
      <c r="Q252" s="107">
        <v>0.0</v>
      </c>
      <c r="AD252" s="119"/>
    </row>
    <row r="253">
      <c r="A253" s="106" t="s">
        <v>312</v>
      </c>
      <c r="B253" s="112">
        <v>2.0</v>
      </c>
      <c r="C253" s="112">
        <v>0.0</v>
      </c>
      <c r="D253" s="112">
        <v>0.0</v>
      </c>
      <c r="E253" s="112">
        <v>0.0</v>
      </c>
      <c r="F253" s="112">
        <v>0.0</v>
      </c>
      <c r="G253" s="112">
        <v>0.0</v>
      </c>
      <c r="H253" s="112">
        <v>0.0</v>
      </c>
      <c r="I253" s="112">
        <v>0.0</v>
      </c>
      <c r="J253" s="112">
        <v>1.0</v>
      </c>
      <c r="K253" s="112">
        <v>0.0</v>
      </c>
      <c r="L253" s="112">
        <v>0.0</v>
      </c>
      <c r="M253" s="112">
        <v>0.0</v>
      </c>
      <c r="N253" s="112">
        <v>0.0</v>
      </c>
      <c r="O253" s="112">
        <v>0.333</v>
      </c>
      <c r="P253" s="112">
        <v>0.0</v>
      </c>
      <c r="Q253" s="112">
        <v>0.0</v>
      </c>
      <c r="AD253" s="119"/>
    </row>
    <row r="254">
      <c r="A254" s="106" t="s">
        <v>313</v>
      </c>
      <c r="B254" s="107">
        <v>3.0</v>
      </c>
      <c r="C254" s="107">
        <v>0.0</v>
      </c>
      <c r="D254" s="107">
        <v>0.0</v>
      </c>
      <c r="E254" s="107">
        <v>0.0</v>
      </c>
      <c r="F254" s="107">
        <v>0.0</v>
      </c>
      <c r="G254" s="107">
        <v>0.0</v>
      </c>
      <c r="H254" s="107">
        <v>0.0</v>
      </c>
      <c r="I254" s="107">
        <v>0.0</v>
      </c>
      <c r="J254" s="107">
        <v>0.0</v>
      </c>
      <c r="K254" s="107">
        <v>2.0</v>
      </c>
      <c r="L254" s="107">
        <v>0.0</v>
      </c>
      <c r="M254" s="107">
        <v>0.0</v>
      </c>
      <c r="N254" s="107">
        <v>0.0</v>
      </c>
      <c r="O254" s="107">
        <v>0.0</v>
      </c>
      <c r="P254" s="107">
        <v>0.0</v>
      </c>
      <c r="Q254" s="107">
        <v>0.0</v>
      </c>
      <c r="AD254" s="119"/>
    </row>
    <row r="255">
      <c r="A255" s="106" t="s">
        <v>314</v>
      </c>
      <c r="B255" s="112">
        <v>1.0</v>
      </c>
      <c r="C255" s="112">
        <v>0.0</v>
      </c>
      <c r="D255" s="112">
        <v>0.0</v>
      </c>
      <c r="E255" s="112">
        <v>0.0</v>
      </c>
      <c r="F255" s="112">
        <v>0.0</v>
      </c>
      <c r="G255" s="112">
        <v>0.0</v>
      </c>
      <c r="H255" s="112">
        <v>0.0</v>
      </c>
      <c r="I255" s="112">
        <v>0.0</v>
      </c>
      <c r="J255" s="112">
        <v>0.0</v>
      </c>
      <c r="K255" s="112">
        <v>0.0</v>
      </c>
      <c r="L255" s="112">
        <v>0.0</v>
      </c>
      <c r="M255" s="112">
        <v>0.0</v>
      </c>
      <c r="N255" s="112">
        <v>0.0</v>
      </c>
      <c r="O255" s="112">
        <v>0.0</v>
      </c>
      <c r="P255" s="112">
        <v>0.0</v>
      </c>
      <c r="Q255" s="112">
        <v>0.0</v>
      </c>
      <c r="AD255" s="119"/>
    </row>
    <row r="256">
      <c r="A256" s="117" t="s">
        <v>99</v>
      </c>
      <c r="B256" s="107">
        <v>23.0</v>
      </c>
      <c r="C256" s="107">
        <v>0.0</v>
      </c>
      <c r="D256" s="107">
        <v>4.0</v>
      </c>
      <c r="E256" s="107">
        <v>0.0</v>
      </c>
      <c r="F256" s="107">
        <v>0.174</v>
      </c>
      <c r="G256" s="107">
        <v>0.0</v>
      </c>
      <c r="H256" s="107">
        <v>0.0</v>
      </c>
      <c r="I256" s="107">
        <v>0.0</v>
      </c>
      <c r="J256" s="107">
        <v>4.0</v>
      </c>
      <c r="K256" s="107">
        <v>4.0</v>
      </c>
      <c r="L256" s="107">
        <v>0.0</v>
      </c>
      <c r="M256" s="107">
        <v>0.0</v>
      </c>
      <c r="N256" s="107">
        <v>1.0</v>
      </c>
      <c r="O256" s="107">
        <v>0.321</v>
      </c>
      <c r="P256" s="107">
        <v>0.174</v>
      </c>
      <c r="Q256" s="107">
        <v>1.0</v>
      </c>
      <c r="AD256" s="119"/>
    </row>
    <row r="257">
      <c r="A257" s="118"/>
      <c r="AD257" s="119"/>
    </row>
    <row r="258">
      <c r="A258" s="98" t="s">
        <v>84</v>
      </c>
      <c r="Q258" s="99"/>
      <c r="R258" s="101" t="s">
        <v>89</v>
      </c>
      <c r="S258" s="102" t="s">
        <v>61</v>
      </c>
      <c r="T258" s="102" t="s">
        <v>62</v>
      </c>
      <c r="U258" s="102" t="s">
        <v>63</v>
      </c>
      <c r="V258" s="102" t="s">
        <v>64</v>
      </c>
      <c r="W258" s="102" t="s">
        <v>12</v>
      </c>
      <c r="X258" s="102" t="s">
        <v>88</v>
      </c>
      <c r="Y258" s="102" t="s">
        <v>10</v>
      </c>
      <c r="Z258" s="102" t="s">
        <v>70</v>
      </c>
      <c r="AA258" s="103"/>
      <c r="AB258" s="124">
        <v>1.0</v>
      </c>
      <c r="AD258" s="119"/>
    </row>
    <row r="259">
      <c r="A259" s="101" t="s">
        <v>87</v>
      </c>
      <c r="B259" s="102" t="s">
        <v>3</v>
      </c>
      <c r="C259" s="102" t="s">
        <v>63</v>
      </c>
      <c r="D259" s="102" t="s">
        <v>62</v>
      </c>
      <c r="E259" s="102" t="s">
        <v>6</v>
      </c>
      <c r="F259" s="102" t="s">
        <v>18</v>
      </c>
      <c r="G259" s="102" t="s">
        <v>8</v>
      </c>
      <c r="H259" s="102" t="s">
        <v>9</v>
      </c>
      <c r="I259" s="102" t="s">
        <v>10</v>
      </c>
      <c r="J259" s="102" t="s">
        <v>12</v>
      </c>
      <c r="K259" s="102" t="s">
        <v>88</v>
      </c>
      <c r="L259" s="102" t="s">
        <v>15</v>
      </c>
      <c r="M259" s="102" t="s">
        <v>16</v>
      </c>
      <c r="N259" s="102" t="s">
        <v>14</v>
      </c>
      <c r="O259" s="102" t="s">
        <v>19</v>
      </c>
      <c r="P259" s="102" t="s">
        <v>20</v>
      </c>
      <c r="Q259" s="102" t="s">
        <v>11</v>
      </c>
      <c r="R259" s="106" t="s">
        <v>315</v>
      </c>
      <c r="S259" s="107">
        <v>6.0</v>
      </c>
      <c r="T259" s="107">
        <v>3.0</v>
      </c>
      <c r="U259" s="107">
        <v>0.0</v>
      </c>
      <c r="V259" s="107">
        <v>0.0</v>
      </c>
      <c r="W259" s="107">
        <v>0.0</v>
      </c>
      <c r="X259" s="107">
        <v>6.0</v>
      </c>
      <c r="Y259" s="107">
        <v>0.0</v>
      </c>
      <c r="Z259" s="107">
        <v>0.0</v>
      </c>
      <c r="AA259" s="109"/>
      <c r="AB259" s="125">
        <v>2.0</v>
      </c>
      <c r="AC259" s="100">
        <v>1.0</v>
      </c>
      <c r="AD259" s="100" t="s">
        <v>43</v>
      </c>
    </row>
    <row r="260">
      <c r="A260" s="106" t="s">
        <v>316</v>
      </c>
      <c r="B260" s="107">
        <v>3.0</v>
      </c>
      <c r="C260" s="107">
        <v>0.0</v>
      </c>
      <c r="D260" s="107">
        <v>0.0</v>
      </c>
      <c r="E260" s="107">
        <v>0.0</v>
      </c>
      <c r="F260" s="107">
        <v>0.0</v>
      </c>
      <c r="G260" s="107">
        <v>0.0</v>
      </c>
      <c r="H260" s="107">
        <v>0.0</v>
      </c>
      <c r="I260" s="107">
        <v>0.0</v>
      </c>
      <c r="J260" s="107">
        <v>0.0</v>
      </c>
      <c r="K260" s="107">
        <v>2.0</v>
      </c>
      <c r="L260" s="107">
        <v>0.0</v>
      </c>
      <c r="M260" s="107">
        <v>0.0</v>
      </c>
      <c r="N260" s="107">
        <v>0.0</v>
      </c>
      <c r="O260" s="107">
        <v>0.0</v>
      </c>
      <c r="P260" s="107">
        <v>0.0</v>
      </c>
      <c r="Q260" s="107">
        <v>0.0</v>
      </c>
      <c r="R260" s="106" t="s">
        <v>317</v>
      </c>
      <c r="S260" s="112">
        <v>1.0</v>
      </c>
      <c r="T260" s="112">
        <v>1.0</v>
      </c>
      <c r="U260" s="112">
        <v>1.0</v>
      </c>
      <c r="V260" s="112">
        <v>1.0</v>
      </c>
      <c r="W260" s="112">
        <v>3.0</v>
      </c>
      <c r="X260" s="112">
        <v>2.0</v>
      </c>
      <c r="Y260" s="112">
        <v>1.0</v>
      </c>
      <c r="Z260" s="112">
        <v>7.0</v>
      </c>
      <c r="AA260" s="114"/>
      <c r="AB260" s="126">
        <v>3.0</v>
      </c>
      <c r="AC260" s="100">
        <v>1.0</v>
      </c>
      <c r="AD260" s="100" t="s">
        <v>41</v>
      </c>
    </row>
    <row r="261">
      <c r="A261" s="106" t="s">
        <v>318</v>
      </c>
      <c r="B261" s="112">
        <v>2.0</v>
      </c>
      <c r="C261" s="112">
        <v>1.0</v>
      </c>
      <c r="D261" s="112">
        <v>1.0</v>
      </c>
      <c r="E261" s="112">
        <v>1.0</v>
      </c>
      <c r="F261" s="112">
        <v>0.5</v>
      </c>
      <c r="G261" s="112">
        <v>0.0</v>
      </c>
      <c r="H261" s="112">
        <v>1.0</v>
      </c>
      <c r="I261" s="112">
        <v>0.0</v>
      </c>
      <c r="J261" s="112">
        <v>1.0</v>
      </c>
      <c r="K261" s="112">
        <v>1.0</v>
      </c>
      <c r="L261" s="112">
        <v>0.0</v>
      </c>
      <c r="M261" s="112">
        <v>0.0</v>
      </c>
      <c r="N261" s="112">
        <v>0.0</v>
      </c>
      <c r="O261" s="112">
        <v>0.667</v>
      </c>
      <c r="P261" s="112">
        <v>1.5</v>
      </c>
      <c r="Q261" s="112">
        <v>0.0</v>
      </c>
      <c r="R261" s="117" t="s">
        <v>99</v>
      </c>
      <c r="S261" s="107">
        <v>7.0</v>
      </c>
      <c r="T261" s="107">
        <v>4.0</v>
      </c>
      <c r="U261" s="107">
        <v>1.0</v>
      </c>
      <c r="V261" s="107">
        <v>1.0</v>
      </c>
      <c r="W261" s="107">
        <v>3.0</v>
      </c>
      <c r="X261" s="107">
        <v>8.0</v>
      </c>
      <c r="Y261" s="107">
        <v>1.0</v>
      </c>
      <c r="Z261" s="107">
        <v>1.0</v>
      </c>
      <c r="AA261" s="109"/>
      <c r="AB261" s="125">
        <v>4.0</v>
      </c>
      <c r="AC261" s="100">
        <v>1.0</v>
      </c>
      <c r="AD261" s="100" t="s">
        <v>49</v>
      </c>
    </row>
    <row r="262">
      <c r="A262" s="106" t="s">
        <v>319</v>
      </c>
      <c r="B262" s="107">
        <v>3.0</v>
      </c>
      <c r="C262" s="107">
        <v>0.0</v>
      </c>
      <c r="D262" s="107">
        <v>3.0</v>
      </c>
      <c r="E262" s="107">
        <v>1.0</v>
      </c>
      <c r="F262" s="107">
        <v>1.0</v>
      </c>
      <c r="G262" s="107">
        <v>0.0</v>
      </c>
      <c r="H262" s="107">
        <v>0.0</v>
      </c>
      <c r="I262" s="107">
        <v>0.0</v>
      </c>
      <c r="J262" s="107">
        <v>0.0</v>
      </c>
      <c r="K262" s="107">
        <v>0.0</v>
      </c>
      <c r="L262" s="107">
        <v>0.0</v>
      </c>
      <c r="M262" s="107">
        <v>0.0</v>
      </c>
      <c r="N262" s="107">
        <v>0.0</v>
      </c>
      <c r="O262" s="107">
        <v>1.0</v>
      </c>
      <c r="P262" s="107">
        <v>1.0</v>
      </c>
      <c r="Q262" s="107">
        <v>0.0</v>
      </c>
      <c r="R262" s="118"/>
      <c r="AB262" s="126">
        <v>5.0</v>
      </c>
      <c r="AD262" s="119"/>
    </row>
    <row r="263">
      <c r="A263" s="106" t="s">
        <v>320</v>
      </c>
      <c r="B263" s="112">
        <v>3.0</v>
      </c>
      <c r="C263" s="112">
        <v>2.0</v>
      </c>
      <c r="D263" s="112">
        <v>2.0</v>
      </c>
      <c r="E263" s="112">
        <v>0.0</v>
      </c>
      <c r="F263" s="112">
        <v>0.667</v>
      </c>
      <c r="G263" s="112">
        <v>0.0</v>
      </c>
      <c r="H263" s="112">
        <v>0.0</v>
      </c>
      <c r="I263" s="112">
        <v>0.0</v>
      </c>
      <c r="J263" s="112">
        <v>0.0</v>
      </c>
      <c r="K263" s="112">
        <v>0.0</v>
      </c>
      <c r="L263" s="112">
        <v>0.0</v>
      </c>
      <c r="M263" s="112">
        <v>0.0</v>
      </c>
      <c r="N263" s="112">
        <v>0.0</v>
      </c>
      <c r="O263" s="112">
        <v>0.667</v>
      </c>
      <c r="P263" s="112">
        <v>0.667</v>
      </c>
      <c r="Q263" s="112">
        <v>1.0</v>
      </c>
      <c r="AB263" s="125">
        <v>6.0</v>
      </c>
      <c r="AD263" s="119"/>
    </row>
    <row r="264">
      <c r="A264" s="106" t="s">
        <v>321</v>
      </c>
      <c r="B264" s="107">
        <v>3.0</v>
      </c>
      <c r="C264" s="107">
        <v>0.0</v>
      </c>
      <c r="D264" s="107">
        <v>0.0</v>
      </c>
      <c r="E264" s="107">
        <v>1.0</v>
      </c>
      <c r="F264" s="107">
        <v>0.0</v>
      </c>
      <c r="G264" s="107">
        <v>0.0</v>
      </c>
      <c r="H264" s="107">
        <v>0.0</v>
      </c>
      <c r="I264" s="107">
        <v>0.0</v>
      </c>
      <c r="J264" s="107">
        <v>0.0</v>
      </c>
      <c r="K264" s="107">
        <v>0.0</v>
      </c>
      <c r="L264" s="107">
        <v>0.0</v>
      </c>
      <c r="M264" s="107">
        <v>0.0</v>
      </c>
      <c r="N264" s="107">
        <v>0.0</v>
      </c>
      <c r="O264" s="107">
        <v>0.0</v>
      </c>
      <c r="P264" s="107">
        <v>0.0</v>
      </c>
      <c r="Q264" s="107">
        <v>0.0</v>
      </c>
      <c r="AB264" s="127">
        <v>7.0</v>
      </c>
      <c r="AD264" s="119"/>
    </row>
    <row r="265">
      <c r="A265" s="106" t="s">
        <v>322</v>
      </c>
      <c r="B265" s="112">
        <v>0.0</v>
      </c>
      <c r="C265" s="112">
        <v>2.0</v>
      </c>
      <c r="D265" s="112">
        <v>0.0</v>
      </c>
      <c r="E265" s="112">
        <v>1.0</v>
      </c>
      <c r="F265" s="112">
        <v>0.0</v>
      </c>
      <c r="G265" s="112">
        <v>0.0</v>
      </c>
      <c r="H265" s="112">
        <v>0.0</v>
      </c>
      <c r="I265" s="112">
        <v>0.0</v>
      </c>
      <c r="J265" s="112">
        <v>2.0</v>
      </c>
      <c r="K265" s="112">
        <v>0.0</v>
      </c>
      <c r="L265" s="112">
        <v>1.0</v>
      </c>
      <c r="M265" s="112">
        <v>0.0</v>
      </c>
      <c r="N265" s="112">
        <v>0.0</v>
      </c>
      <c r="O265" s="112">
        <v>0.667</v>
      </c>
      <c r="P265" s="112">
        <v>0.0</v>
      </c>
      <c r="Q265" s="112">
        <v>1.0</v>
      </c>
      <c r="AD265" s="119"/>
    </row>
    <row r="266">
      <c r="A266" s="106" t="s">
        <v>323</v>
      </c>
      <c r="B266" s="107">
        <v>2.0</v>
      </c>
      <c r="C266" s="107">
        <v>1.0</v>
      </c>
      <c r="D266" s="107">
        <v>0.0</v>
      </c>
      <c r="E266" s="107">
        <v>0.0</v>
      </c>
      <c r="F266" s="107">
        <v>0.0</v>
      </c>
      <c r="G266" s="107">
        <v>0.0</v>
      </c>
      <c r="H266" s="107">
        <v>0.0</v>
      </c>
      <c r="I266" s="107">
        <v>0.0</v>
      </c>
      <c r="J266" s="107">
        <v>1.0</v>
      </c>
      <c r="K266" s="107">
        <v>1.0</v>
      </c>
      <c r="L266" s="107">
        <v>0.0</v>
      </c>
      <c r="M266" s="107">
        <v>0.0</v>
      </c>
      <c r="N266" s="107">
        <v>0.0</v>
      </c>
      <c r="O266" s="107">
        <v>0.333</v>
      </c>
      <c r="P266" s="107">
        <v>0.0</v>
      </c>
      <c r="Q266" s="107">
        <v>1.0</v>
      </c>
      <c r="AD266" s="119"/>
    </row>
    <row r="267">
      <c r="A267" s="106" t="s">
        <v>324</v>
      </c>
      <c r="B267" s="112">
        <v>3.0</v>
      </c>
      <c r="C267" s="112">
        <v>0.0</v>
      </c>
      <c r="D267" s="112">
        <v>2.0</v>
      </c>
      <c r="E267" s="112">
        <v>2.0</v>
      </c>
      <c r="F267" s="112">
        <v>0.667</v>
      </c>
      <c r="G267" s="112">
        <v>0.0</v>
      </c>
      <c r="H267" s="112">
        <v>0.0</v>
      </c>
      <c r="I267" s="112">
        <v>0.0</v>
      </c>
      <c r="J267" s="112">
        <v>0.0</v>
      </c>
      <c r="K267" s="112">
        <v>0.0</v>
      </c>
      <c r="L267" s="112">
        <v>0.0</v>
      </c>
      <c r="M267" s="112">
        <v>0.0</v>
      </c>
      <c r="N267" s="112">
        <v>0.0</v>
      </c>
      <c r="O267" s="112">
        <v>0.667</v>
      </c>
      <c r="P267" s="112">
        <v>0.667</v>
      </c>
      <c r="Q267" s="112">
        <v>0.0</v>
      </c>
      <c r="AD267" s="119"/>
    </row>
    <row r="268">
      <c r="A268" s="106" t="s">
        <v>325</v>
      </c>
      <c r="B268" s="107">
        <v>2.0</v>
      </c>
      <c r="C268" s="107">
        <v>0.0</v>
      </c>
      <c r="D268" s="107">
        <v>0.0</v>
      </c>
      <c r="E268" s="107">
        <v>0.0</v>
      </c>
      <c r="F268" s="107">
        <v>0.0</v>
      </c>
      <c r="G268" s="107">
        <v>0.0</v>
      </c>
      <c r="H268" s="107">
        <v>0.0</v>
      </c>
      <c r="I268" s="107">
        <v>0.0</v>
      </c>
      <c r="J268" s="107">
        <v>0.0</v>
      </c>
      <c r="K268" s="107">
        <v>0.0</v>
      </c>
      <c r="L268" s="107">
        <v>0.0</v>
      </c>
      <c r="M268" s="107">
        <v>1.0</v>
      </c>
      <c r="N268" s="107">
        <v>0.0</v>
      </c>
      <c r="O268" s="107">
        <v>0.0</v>
      </c>
      <c r="P268" s="107">
        <v>0.0</v>
      </c>
      <c r="Q268" s="107">
        <v>0.0</v>
      </c>
      <c r="AD268" s="119"/>
    </row>
    <row r="269">
      <c r="A269" s="120" t="s">
        <v>99</v>
      </c>
      <c r="B269" s="112">
        <v>21.0</v>
      </c>
      <c r="C269" s="112">
        <v>6.0</v>
      </c>
      <c r="D269" s="112">
        <v>8.0</v>
      </c>
      <c r="E269" s="112">
        <v>6.0</v>
      </c>
      <c r="F269" s="112">
        <v>0.381</v>
      </c>
      <c r="G269" s="112">
        <v>0.0</v>
      </c>
      <c r="H269" s="112">
        <v>1.0</v>
      </c>
      <c r="I269" s="112">
        <v>0.0</v>
      </c>
      <c r="J269" s="112">
        <v>4.0</v>
      </c>
      <c r="K269" s="112">
        <v>4.0</v>
      </c>
      <c r="L269" s="112">
        <v>1.0</v>
      </c>
      <c r="M269" s="112">
        <v>1.0</v>
      </c>
      <c r="N269" s="112">
        <v>0.0</v>
      </c>
      <c r="O269" s="112">
        <v>0.462</v>
      </c>
      <c r="P269" s="112">
        <v>0.476</v>
      </c>
      <c r="Q269" s="112">
        <v>3.0</v>
      </c>
      <c r="AD269" s="119"/>
    </row>
    <row r="270">
      <c r="A270" s="118"/>
      <c r="AD270" s="119"/>
    </row>
    <row r="271">
      <c r="A271" s="98" t="s">
        <v>84</v>
      </c>
      <c r="Q271" s="99"/>
      <c r="R271" s="101" t="s">
        <v>89</v>
      </c>
      <c r="S271" s="102" t="s">
        <v>61</v>
      </c>
      <c r="T271" s="102" t="s">
        <v>62</v>
      </c>
      <c r="U271" s="102" t="s">
        <v>63</v>
      </c>
      <c r="V271" s="102" t="s">
        <v>64</v>
      </c>
      <c r="W271" s="102" t="s">
        <v>12</v>
      </c>
      <c r="X271" s="102" t="s">
        <v>88</v>
      </c>
      <c r="Y271" s="102" t="s">
        <v>10</v>
      </c>
      <c r="Z271" s="102" t="s">
        <v>70</v>
      </c>
      <c r="AA271" s="103"/>
      <c r="AB271" s="124">
        <v>1.0</v>
      </c>
      <c r="AC271" s="100">
        <v>1.0</v>
      </c>
      <c r="AD271" s="100" t="s">
        <v>46</v>
      </c>
    </row>
    <row r="272">
      <c r="A272" s="101" t="s">
        <v>87</v>
      </c>
      <c r="B272" s="102" t="s">
        <v>3</v>
      </c>
      <c r="C272" s="102" t="s">
        <v>63</v>
      </c>
      <c r="D272" s="102" t="s">
        <v>62</v>
      </c>
      <c r="E272" s="102" t="s">
        <v>6</v>
      </c>
      <c r="F272" s="102" t="s">
        <v>18</v>
      </c>
      <c r="G272" s="102" t="s">
        <v>8</v>
      </c>
      <c r="H272" s="102" t="s">
        <v>9</v>
      </c>
      <c r="I272" s="102" t="s">
        <v>10</v>
      </c>
      <c r="J272" s="102" t="s">
        <v>12</v>
      </c>
      <c r="K272" s="102" t="s">
        <v>88</v>
      </c>
      <c r="L272" s="102" t="s">
        <v>15</v>
      </c>
      <c r="M272" s="102" t="s">
        <v>16</v>
      </c>
      <c r="N272" s="102" t="s">
        <v>14</v>
      </c>
      <c r="O272" s="102" t="s">
        <v>19</v>
      </c>
      <c r="P272" s="102" t="s">
        <v>20</v>
      </c>
      <c r="Q272" s="102" t="s">
        <v>11</v>
      </c>
      <c r="R272" s="106" t="s">
        <v>326</v>
      </c>
      <c r="S272" s="107">
        <v>1.1</v>
      </c>
      <c r="T272" s="107">
        <v>0.0</v>
      </c>
      <c r="U272" s="107">
        <v>0.0</v>
      </c>
      <c r="V272" s="107">
        <v>0.0</v>
      </c>
      <c r="W272" s="107">
        <v>1.0</v>
      </c>
      <c r="X272" s="107">
        <v>1.0</v>
      </c>
      <c r="Y272" s="107">
        <v>0.0</v>
      </c>
      <c r="Z272" s="107">
        <v>0.0</v>
      </c>
      <c r="AA272" s="109"/>
      <c r="AB272" s="125">
        <v>2.0</v>
      </c>
      <c r="AC272" s="100">
        <v>1.0</v>
      </c>
      <c r="AD272" s="100" t="s">
        <v>44</v>
      </c>
    </row>
    <row r="273">
      <c r="A273" s="106" t="s">
        <v>327</v>
      </c>
      <c r="B273" s="107">
        <v>4.0</v>
      </c>
      <c r="C273" s="107">
        <v>0.0</v>
      </c>
      <c r="D273" s="107">
        <v>0.0</v>
      </c>
      <c r="E273" s="107">
        <v>0.0</v>
      </c>
      <c r="F273" s="107">
        <v>0.0</v>
      </c>
      <c r="G273" s="107">
        <v>0.0</v>
      </c>
      <c r="H273" s="107">
        <v>0.0</v>
      </c>
      <c r="I273" s="107">
        <v>0.0</v>
      </c>
      <c r="J273" s="107">
        <v>0.0</v>
      </c>
      <c r="K273" s="107">
        <v>2.0</v>
      </c>
      <c r="L273" s="107">
        <v>0.0</v>
      </c>
      <c r="M273" s="107">
        <v>0.0</v>
      </c>
      <c r="N273" s="107">
        <v>0.0</v>
      </c>
      <c r="O273" s="107">
        <v>0.0</v>
      </c>
      <c r="P273" s="107">
        <v>0.0</v>
      </c>
      <c r="Q273" s="107">
        <v>0.0</v>
      </c>
      <c r="R273" s="106" t="s">
        <v>328</v>
      </c>
      <c r="S273" s="112">
        <v>4.0</v>
      </c>
      <c r="T273" s="112">
        <v>2.0</v>
      </c>
      <c r="U273" s="112">
        <v>4.0</v>
      </c>
      <c r="V273" s="112">
        <v>4.0</v>
      </c>
      <c r="W273" s="112">
        <v>2.0</v>
      </c>
      <c r="X273" s="112">
        <v>5.0</v>
      </c>
      <c r="Y273" s="112">
        <v>0.0</v>
      </c>
      <c r="Z273" s="112">
        <v>7.0</v>
      </c>
      <c r="AA273" s="114"/>
      <c r="AB273" s="126">
        <v>3.0</v>
      </c>
      <c r="AC273" s="100">
        <v>1.0</v>
      </c>
      <c r="AD273" s="100" t="s">
        <v>46</v>
      </c>
    </row>
    <row r="274">
      <c r="A274" s="106" t="s">
        <v>329</v>
      </c>
      <c r="B274" s="112">
        <v>2.0</v>
      </c>
      <c r="C274" s="112">
        <v>0.0</v>
      </c>
      <c r="D274" s="112">
        <v>2.0</v>
      </c>
      <c r="E274" s="112">
        <v>2.0</v>
      </c>
      <c r="F274" s="112">
        <v>1.0</v>
      </c>
      <c r="G274" s="112">
        <v>0.0</v>
      </c>
      <c r="H274" s="112">
        <v>0.0</v>
      </c>
      <c r="I274" s="112">
        <v>0.0</v>
      </c>
      <c r="J274" s="112">
        <v>2.0</v>
      </c>
      <c r="K274" s="112">
        <v>0.0</v>
      </c>
      <c r="L274" s="112">
        <v>0.0</v>
      </c>
      <c r="M274" s="112">
        <v>0.0</v>
      </c>
      <c r="N274" s="112">
        <v>0.0</v>
      </c>
      <c r="O274" s="112">
        <v>1.0</v>
      </c>
      <c r="P274" s="112">
        <v>1.0</v>
      </c>
      <c r="Q274" s="112">
        <v>3.0</v>
      </c>
      <c r="R274" s="106" t="s">
        <v>330</v>
      </c>
      <c r="S274" s="107">
        <v>1.0</v>
      </c>
      <c r="T274" s="107">
        <v>0.0</v>
      </c>
      <c r="U274" s="107">
        <v>0.0</v>
      </c>
      <c r="V274" s="107">
        <v>0.0</v>
      </c>
      <c r="W274" s="107">
        <v>1.0</v>
      </c>
      <c r="X274" s="107">
        <v>0.0</v>
      </c>
      <c r="Y274" s="107">
        <v>0.0</v>
      </c>
      <c r="Z274" s="107">
        <v>0.0</v>
      </c>
      <c r="AA274" s="109"/>
      <c r="AB274" s="125">
        <v>4.0</v>
      </c>
      <c r="AC274" s="100">
        <v>1.0</v>
      </c>
      <c r="AD274" s="100" t="s">
        <v>42</v>
      </c>
    </row>
    <row r="275">
      <c r="A275" s="106" t="s">
        <v>331</v>
      </c>
      <c r="B275" s="107">
        <v>4.0</v>
      </c>
      <c r="C275" s="107">
        <v>0.0</v>
      </c>
      <c r="D275" s="107">
        <v>3.0</v>
      </c>
      <c r="E275" s="107">
        <v>1.0</v>
      </c>
      <c r="F275" s="107">
        <v>0.75</v>
      </c>
      <c r="G275" s="107">
        <v>0.0</v>
      </c>
      <c r="H275" s="107">
        <v>0.0</v>
      </c>
      <c r="I275" s="107">
        <v>0.0</v>
      </c>
      <c r="J275" s="107">
        <v>0.0</v>
      </c>
      <c r="K275" s="107">
        <v>0.0</v>
      </c>
      <c r="L275" s="107">
        <v>0.0</v>
      </c>
      <c r="M275" s="107">
        <v>0.0</v>
      </c>
      <c r="N275" s="107">
        <v>0.0</v>
      </c>
      <c r="O275" s="107">
        <v>0.75</v>
      </c>
      <c r="P275" s="107">
        <v>0.75</v>
      </c>
      <c r="Q275" s="107">
        <v>0.0</v>
      </c>
      <c r="R275" s="106" t="s">
        <v>332</v>
      </c>
      <c r="S275" s="112">
        <v>0.2</v>
      </c>
      <c r="T275" s="112">
        <v>0.0</v>
      </c>
      <c r="U275" s="112">
        <v>0.0</v>
      </c>
      <c r="V275" s="112">
        <v>0.0</v>
      </c>
      <c r="W275" s="112">
        <v>2.0</v>
      </c>
      <c r="X275" s="112">
        <v>0.0</v>
      </c>
      <c r="Y275" s="112">
        <v>0.0</v>
      </c>
      <c r="Z275" s="112">
        <v>0.0</v>
      </c>
      <c r="AA275" s="114"/>
      <c r="AB275" s="126">
        <v>5.0</v>
      </c>
      <c r="AC275" s="100">
        <v>2.0</v>
      </c>
      <c r="AD275" s="100" t="s">
        <v>45</v>
      </c>
    </row>
    <row r="276">
      <c r="A276" s="106" t="s">
        <v>333</v>
      </c>
      <c r="B276" s="112">
        <v>2.0</v>
      </c>
      <c r="C276" s="112">
        <v>0.0</v>
      </c>
      <c r="D276" s="112">
        <v>0.0</v>
      </c>
      <c r="E276" s="112">
        <v>0.0</v>
      </c>
      <c r="F276" s="112">
        <v>0.0</v>
      </c>
      <c r="G276" s="112">
        <v>0.0</v>
      </c>
      <c r="H276" s="112">
        <v>0.0</v>
      </c>
      <c r="I276" s="112">
        <v>0.0</v>
      </c>
      <c r="J276" s="112">
        <v>0.0</v>
      </c>
      <c r="K276" s="112">
        <v>0.0</v>
      </c>
      <c r="L276" s="112">
        <v>0.0</v>
      </c>
      <c r="M276" s="112">
        <v>0.0</v>
      </c>
      <c r="N276" s="112">
        <v>0.0</v>
      </c>
      <c r="O276" s="112">
        <v>0.0</v>
      </c>
      <c r="P276" s="112">
        <v>0.0</v>
      </c>
      <c r="Q276" s="112">
        <v>0.0</v>
      </c>
      <c r="R276" s="117" t="s">
        <v>99</v>
      </c>
      <c r="S276" s="107">
        <v>7.0</v>
      </c>
      <c r="T276" s="107">
        <v>2.0</v>
      </c>
      <c r="U276" s="107">
        <v>4.0</v>
      </c>
      <c r="V276" s="107">
        <v>4.0</v>
      </c>
      <c r="W276" s="107">
        <v>6.0</v>
      </c>
      <c r="X276" s="107">
        <v>6.0</v>
      </c>
      <c r="Y276" s="107">
        <v>0.0</v>
      </c>
      <c r="Z276" s="107">
        <v>4.0</v>
      </c>
      <c r="AA276" s="109"/>
      <c r="AB276" s="125">
        <v>6.0</v>
      </c>
      <c r="AC276" s="100">
        <v>1.0</v>
      </c>
      <c r="AD276" s="100" t="s">
        <v>40</v>
      </c>
    </row>
    <row r="277">
      <c r="A277" s="106" t="s">
        <v>334</v>
      </c>
      <c r="B277" s="107">
        <v>4.0</v>
      </c>
      <c r="C277" s="107">
        <v>1.0</v>
      </c>
      <c r="D277" s="107">
        <v>1.0</v>
      </c>
      <c r="E277" s="107">
        <v>0.0</v>
      </c>
      <c r="F277" s="107">
        <v>0.25</v>
      </c>
      <c r="G277" s="107">
        <v>0.0</v>
      </c>
      <c r="H277" s="107">
        <v>0.0</v>
      </c>
      <c r="I277" s="107">
        <v>0.0</v>
      </c>
      <c r="J277" s="107">
        <v>0.0</v>
      </c>
      <c r="K277" s="107">
        <v>1.0</v>
      </c>
      <c r="L277" s="107">
        <v>0.0</v>
      </c>
      <c r="M277" s="107">
        <v>0.0</v>
      </c>
      <c r="N277" s="107">
        <v>0.0</v>
      </c>
      <c r="O277" s="107">
        <v>0.25</v>
      </c>
      <c r="P277" s="107">
        <v>0.25</v>
      </c>
      <c r="Q277" s="107">
        <v>0.0</v>
      </c>
      <c r="R277" s="118"/>
      <c r="AB277" s="127">
        <v>7.0</v>
      </c>
      <c r="AC277" s="100">
        <v>1.0</v>
      </c>
      <c r="AD277" s="100" t="s">
        <v>44</v>
      </c>
    </row>
    <row r="278">
      <c r="A278" s="106" t="s">
        <v>335</v>
      </c>
      <c r="B278" s="112">
        <v>4.0</v>
      </c>
      <c r="C278" s="112">
        <v>1.0</v>
      </c>
      <c r="D278" s="112">
        <v>1.0</v>
      </c>
      <c r="E278" s="112">
        <v>0.0</v>
      </c>
      <c r="F278" s="112">
        <v>0.25</v>
      </c>
      <c r="G278" s="112">
        <v>0.0</v>
      </c>
      <c r="H278" s="112">
        <v>0.0</v>
      </c>
      <c r="I278" s="112">
        <v>0.0</v>
      </c>
      <c r="J278" s="112">
        <v>0.0</v>
      </c>
      <c r="K278" s="112">
        <v>2.0</v>
      </c>
      <c r="L278" s="112">
        <v>0.0</v>
      </c>
      <c r="M278" s="112">
        <v>0.0</v>
      </c>
      <c r="N278" s="112">
        <v>0.0</v>
      </c>
      <c r="O278" s="112">
        <v>0.25</v>
      </c>
      <c r="P278" s="112">
        <v>0.25</v>
      </c>
      <c r="Q278" s="112">
        <v>1.0</v>
      </c>
      <c r="AD278" s="119"/>
    </row>
    <row r="279">
      <c r="A279" s="106" t="s">
        <v>336</v>
      </c>
      <c r="B279" s="107">
        <v>3.0</v>
      </c>
      <c r="C279" s="107">
        <v>2.0</v>
      </c>
      <c r="D279" s="107">
        <v>2.0</v>
      </c>
      <c r="E279" s="107">
        <v>1.0</v>
      </c>
      <c r="F279" s="107">
        <v>0.667</v>
      </c>
      <c r="G279" s="107">
        <v>1.0</v>
      </c>
      <c r="H279" s="107">
        <v>0.0</v>
      </c>
      <c r="I279" s="107">
        <v>0.0</v>
      </c>
      <c r="J279" s="107">
        <v>1.0</v>
      </c>
      <c r="K279" s="107">
        <v>0.0</v>
      </c>
      <c r="L279" s="107">
        <v>0.0</v>
      </c>
      <c r="M279" s="107">
        <v>0.0</v>
      </c>
      <c r="N279" s="107">
        <v>0.0</v>
      </c>
      <c r="O279" s="107">
        <v>0.75</v>
      </c>
      <c r="P279" s="107">
        <v>1.0</v>
      </c>
      <c r="Q279" s="107">
        <v>1.0</v>
      </c>
      <c r="AD279" s="119"/>
    </row>
    <row r="280">
      <c r="A280" s="106" t="s">
        <v>337</v>
      </c>
      <c r="B280" s="112">
        <v>3.0</v>
      </c>
      <c r="C280" s="112">
        <v>0.0</v>
      </c>
      <c r="D280" s="112">
        <v>0.0</v>
      </c>
      <c r="E280" s="112">
        <v>1.0</v>
      </c>
      <c r="F280" s="112">
        <v>0.0</v>
      </c>
      <c r="G280" s="112">
        <v>0.0</v>
      </c>
      <c r="H280" s="112">
        <v>0.0</v>
      </c>
      <c r="I280" s="112">
        <v>0.0</v>
      </c>
      <c r="J280" s="112">
        <v>0.0</v>
      </c>
      <c r="K280" s="112">
        <v>2.0</v>
      </c>
      <c r="L280" s="112">
        <v>1.0</v>
      </c>
      <c r="M280" s="112">
        <v>0.0</v>
      </c>
      <c r="N280" s="112">
        <v>0.0</v>
      </c>
      <c r="O280" s="112">
        <v>0.0</v>
      </c>
      <c r="P280" s="112">
        <v>0.0</v>
      </c>
      <c r="Q280" s="112">
        <v>0.0</v>
      </c>
      <c r="AD280" s="119"/>
    </row>
    <row r="281">
      <c r="A281" s="106" t="s">
        <v>338</v>
      </c>
      <c r="B281" s="107">
        <v>4.0</v>
      </c>
      <c r="C281" s="107">
        <v>1.0</v>
      </c>
      <c r="D281" s="107">
        <v>2.0</v>
      </c>
      <c r="E281" s="107">
        <v>1.0</v>
      </c>
      <c r="F281" s="107">
        <v>0.5</v>
      </c>
      <c r="G281" s="107">
        <v>1.0</v>
      </c>
      <c r="H281" s="107">
        <v>0.0</v>
      </c>
      <c r="I281" s="107">
        <v>0.0</v>
      </c>
      <c r="J281" s="107">
        <v>0.0</v>
      </c>
      <c r="K281" s="107">
        <v>2.0</v>
      </c>
      <c r="L281" s="107">
        <v>0.0</v>
      </c>
      <c r="M281" s="107">
        <v>0.0</v>
      </c>
      <c r="N281" s="107">
        <v>0.0</v>
      </c>
      <c r="O281" s="107">
        <v>0.5</v>
      </c>
      <c r="P281" s="107">
        <v>0.75</v>
      </c>
      <c r="Q281" s="107">
        <v>0.0</v>
      </c>
      <c r="AD281" s="119"/>
    </row>
    <row r="282">
      <c r="A282" s="106" t="s">
        <v>339</v>
      </c>
      <c r="B282" s="112">
        <v>1.0</v>
      </c>
      <c r="C282" s="112">
        <v>1.0</v>
      </c>
      <c r="D282" s="112">
        <v>0.0</v>
      </c>
      <c r="E282" s="112">
        <v>0.0</v>
      </c>
      <c r="F282" s="112">
        <v>0.0</v>
      </c>
      <c r="G282" s="112">
        <v>0.0</v>
      </c>
      <c r="H282" s="112">
        <v>0.0</v>
      </c>
      <c r="I282" s="112">
        <v>0.0</v>
      </c>
      <c r="J282" s="112">
        <v>0.0</v>
      </c>
      <c r="K282" s="112">
        <v>0.0</v>
      </c>
      <c r="L282" s="112">
        <v>0.0</v>
      </c>
      <c r="M282" s="112">
        <v>0.0</v>
      </c>
      <c r="N282" s="112">
        <v>0.0</v>
      </c>
      <c r="O282" s="112">
        <v>0.0</v>
      </c>
      <c r="P282" s="112">
        <v>0.0</v>
      </c>
      <c r="Q282" s="112">
        <v>0.0</v>
      </c>
      <c r="AD282" s="119"/>
    </row>
    <row r="283">
      <c r="A283" s="117" t="s">
        <v>99</v>
      </c>
      <c r="B283" s="107">
        <v>31.0</v>
      </c>
      <c r="C283" s="107">
        <v>6.0</v>
      </c>
      <c r="D283" s="107">
        <v>11.0</v>
      </c>
      <c r="E283" s="107">
        <v>6.0</v>
      </c>
      <c r="F283" s="107">
        <v>0.355</v>
      </c>
      <c r="G283" s="107">
        <v>2.0</v>
      </c>
      <c r="H283" s="107">
        <v>0.0</v>
      </c>
      <c r="I283" s="107">
        <v>0.0</v>
      </c>
      <c r="J283" s="107">
        <v>3.0</v>
      </c>
      <c r="K283" s="107">
        <v>9.0</v>
      </c>
      <c r="L283" s="107">
        <v>1.0</v>
      </c>
      <c r="M283" s="107">
        <v>0.0</v>
      </c>
      <c r="N283" s="107">
        <v>0.0</v>
      </c>
      <c r="O283" s="107">
        <v>0.4</v>
      </c>
      <c r="P283" s="107">
        <v>0.419</v>
      </c>
      <c r="Q283" s="107">
        <v>5.0</v>
      </c>
      <c r="AD283" s="119"/>
    </row>
    <row r="284">
      <c r="A284" s="118"/>
      <c r="AD284" s="119"/>
    </row>
    <row r="285">
      <c r="A285" s="98" t="s">
        <v>84</v>
      </c>
      <c r="Q285" s="99"/>
      <c r="AD285" s="119"/>
    </row>
    <row r="286">
      <c r="A286" s="101" t="s">
        <v>87</v>
      </c>
      <c r="B286" s="102" t="s">
        <v>3</v>
      </c>
      <c r="C286" s="102" t="s">
        <v>63</v>
      </c>
      <c r="D286" s="102" t="s">
        <v>62</v>
      </c>
      <c r="E286" s="102" t="s">
        <v>6</v>
      </c>
      <c r="F286" s="102" t="s">
        <v>18</v>
      </c>
      <c r="G286" s="102" t="s">
        <v>8</v>
      </c>
      <c r="H286" s="102" t="s">
        <v>9</v>
      </c>
      <c r="I286" s="102" t="s">
        <v>10</v>
      </c>
      <c r="J286" s="102" t="s">
        <v>12</v>
      </c>
      <c r="K286" s="102" t="s">
        <v>88</v>
      </c>
      <c r="L286" s="102" t="s">
        <v>15</v>
      </c>
      <c r="M286" s="102" t="s">
        <v>16</v>
      </c>
      <c r="N286" s="102" t="s">
        <v>14</v>
      </c>
      <c r="O286" s="102" t="s">
        <v>19</v>
      </c>
      <c r="P286" s="102" t="s">
        <v>20</v>
      </c>
      <c r="Q286" s="102" t="s">
        <v>11</v>
      </c>
      <c r="R286" s="101" t="s">
        <v>89</v>
      </c>
      <c r="S286" s="102" t="s">
        <v>61</v>
      </c>
      <c r="T286" s="102" t="s">
        <v>62</v>
      </c>
      <c r="U286" s="102" t="s">
        <v>63</v>
      </c>
      <c r="V286" s="102" t="s">
        <v>64</v>
      </c>
      <c r="W286" s="102" t="s">
        <v>12</v>
      </c>
      <c r="X286" s="102" t="s">
        <v>88</v>
      </c>
      <c r="Y286" s="102" t="s">
        <v>10</v>
      </c>
      <c r="Z286" s="102" t="s">
        <v>70</v>
      </c>
      <c r="AA286" s="103"/>
      <c r="AB286" s="124">
        <v>1.0</v>
      </c>
      <c r="AC286" s="100">
        <v>3.0</v>
      </c>
      <c r="AD286" s="100" t="s">
        <v>45</v>
      </c>
    </row>
    <row r="287">
      <c r="A287" s="106" t="s">
        <v>340</v>
      </c>
      <c r="B287" s="107">
        <v>2.0</v>
      </c>
      <c r="C287" s="107">
        <v>1.0</v>
      </c>
      <c r="D287" s="107">
        <v>0.0</v>
      </c>
      <c r="E287" s="107">
        <v>0.0</v>
      </c>
      <c r="F287" s="107">
        <v>0.0</v>
      </c>
      <c r="G287" s="107">
        <v>0.0</v>
      </c>
      <c r="H287" s="107">
        <v>0.0</v>
      </c>
      <c r="I287" s="107">
        <v>0.0</v>
      </c>
      <c r="J287" s="107">
        <v>1.0</v>
      </c>
      <c r="K287" s="107">
        <v>1.0</v>
      </c>
      <c r="L287" s="107">
        <v>0.0</v>
      </c>
      <c r="M287" s="107">
        <v>1.0</v>
      </c>
      <c r="N287" s="107">
        <v>0.0</v>
      </c>
      <c r="O287" s="107">
        <v>0.333</v>
      </c>
      <c r="P287" s="107">
        <v>0.0</v>
      </c>
      <c r="Q287" s="107">
        <v>1.0</v>
      </c>
      <c r="R287" s="106" t="s">
        <v>341</v>
      </c>
      <c r="S287" s="107">
        <v>0.2</v>
      </c>
      <c r="T287" s="107">
        <v>2.0</v>
      </c>
      <c r="U287" s="107">
        <v>3.0</v>
      </c>
      <c r="V287" s="107">
        <v>3.0</v>
      </c>
      <c r="W287" s="107">
        <v>2.0</v>
      </c>
      <c r="X287" s="107">
        <v>1.0</v>
      </c>
      <c r="Y287" s="107">
        <v>0.0</v>
      </c>
      <c r="Z287" s="107">
        <v>31.5</v>
      </c>
      <c r="AA287" s="109"/>
      <c r="AB287" s="125">
        <v>2.0</v>
      </c>
      <c r="AC287" s="100">
        <v>1.0</v>
      </c>
      <c r="AD287" s="100" t="s">
        <v>49</v>
      </c>
    </row>
    <row r="288">
      <c r="A288" s="106" t="s">
        <v>342</v>
      </c>
      <c r="B288" s="112">
        <v>2.0</v>
      </c>
      <c r="C288" s="112">
        <v>1.0</v>
      </c>
      <c r="D288" s="112">
        <v>1.0</v>
      </c>
      <c r="E288" s="112">
        <v>0.0</v>
      </c>
      <c r="F288" s="112">
        <v>0.5</v>
      </c>
      <c r="G288" s="112">
        <v>0.0</v>
      </c>
      <c r="H288" s="112">
        <v>0.0</v>
      </c>
      <c r="I288" s="112">
        <v>0.0</v>
      </c>
      <c r="J288" s="112">
        <v>2.0</v>
      </c>
      <c r="K288" s="112">
        <v>1.0</v>
      </c>
      <c r="L288" s="112">
        <v>0.0</v>
      </c>
      <c r="M288" s="112">
        <v>0.0</v>
      </c>
      <c r="N288" s="112">
        <v>0.0</v>
      </c>
      <c r="O288" s="112">
        <v>0.75</v>
      </c>
      <c r="P288" s="112">
        <v>0.5</v>
      </c>
      <c r="Q288" s="112">
        <v>1.0</v>
      </c>
      <c r="R288" s="106" t="s">
        <v>343</v>
      </c>
      <c r="S288" s="112">
        <v>0.2</v>
      </c>
      <c r="T288" s="112">
        <v>2.0</v>
      </c>
      <c r="U288" s="112">
        <v>1.0</v>
      </c>
      <c r="V288" s="112">
        <v>1.0</v>
      </c>
      <c r="W288" s="112">
        <v>2.0</v>
      </c>
      <c r="X288" s="112">
        <v>0.0</v>
      </c>
      <c r="Y288" s="112">
        <v>0.0</v>
      </c>
      <c r="Z288" s="112">
        <v>10.5</v>
      </c>
      <c r="AA288" s="114"/>
      <c r="AB288" s="126">
        <v>3.0</v>
      </c>
      <c r="AD288" s="119"/>
    </row>
    <row r="289">
      <c r="A289" s="106" t="s">
        <v>344</v>
      </c>
      <c r="B289" s="107">
        <v>0.0</v>
      </c>
      <c r="C289" s="107">
        <v>1.0</v>
      </c>
      <c r="D289" s="107">
        <v>0.0</v>
      </c>
      <c r="E289" s="107">
        <v>0.0</v>
      </c>
      <c r="F289" s="107">
        <v>0.0</v>
      </c>
      <c r="G289" s="107">
        <v>0.0</v>
      </c>
      <c r="H289" s="107">
        <v>0.0</v>
      </c>
      <c r="I289" s="107">
        <v>0.0</v>
      </c>
      <c r="J289" s="107">
        <v>0.0</v>
      </c>
      <c r="K289" s="107">
        <v>0.0</v>
      </c>
      <c r="L289" s="107">
        <v>0.0</v>
      </c>
      <c r="M289" s="107">
        <v>0.0</v>
      </c>
      <c r="N289" s="107">
        <v>0.0</v>
      </c>
      <c r="O289" s="107">
        <v>0.0</v>
      </c>
      <c r="P289" s="107">
        <v>0.0</v>
      </c>
      <c r="Q289" s="107">
        <v>0.0</v>
      </c>
      <c r="R289" s="106" t="s">
        <v>345</v>
      </c>
      <c r="S289" s="107">
        <v>0.2</v>
      </c>
      <c r="T289" s="107">
        <v>2.0</v>
      </c>
      <c r="U289" s="107">
        <v>1.0</v>
      </c>
      <c r="V289" s="107">
        <v>1.0</v>
      </c>
      <c r="W289" s="107">
        <v>1.0</v>
      </c>
      <c r="X289" s="107">
        <v>0.0</v>
      </c>
      <c r="Y289" s="107">
        <v>0.0</v>
      </c>
      <c r="Z289" s="107">
        <v>10.5</v>
      </c>
      <c r="AA289" s="109"/>
      <c r="AB289" s="125">
        <v>4.0</v>
      </c>
      <c r="AC289" s="100">
        <v>1.0</v>
      </c>
      <c r="AD289" s="100" t="s">
        <v>42</v>
      </c>
    </row>
    <row r="290">
      <c r="A290" s="106" t="s">
        <v>346</v>
      </c>
      <c r="B290" s="112">
        <v>4.0</v>
      </c>
      <c r="C290" s="112">
        <v>0.0</v>
      </c>
      <c r="D290" s="112">
        <v>0.0</v>
      </c>
      <c r="E290" s="112">
        <v>0.0</v>
      </c>
      <c r="F290" s="112">
        <v>0.0</v>
      </c>
      <c r="G290" s="112">
        <v>0.0</v>
      </c>
      <c r="H290" s="112">
        <v>0.0</v>
      </c>
      <c r="I290" s="112">
        <v>0.0</v>
      </c>
      <c r="J290" s="112">
        <v>0.0</v>
      </c>
      <c r="K290" s="112">
        <v>2.0</v>
      </c>
      <c r="L290" s="112">
        <v>0.0</v>
      </c>
      <c r="M290" s="112">
        <v>0.0</v>
      </c>
      <c r="N290" s="112">
        <v>0.0</v>
      </c>
      <c r="O290" s="112">
        <v>0.0</v>
      </c>
      <c r="P290" s="112">
        <v>0.0</v>
      </c>
      <c r="Q290" s="112">
        <v>1.0</v>
      </c>
      <c r="R290" s="106" t="s">
        <v>347</v>
      </c>
      <c r="S290" s="112">
        <v>6.0</v>
      </c>
      <c r="T290" s="112">
        <v>1.0</v>
      </c>
      <c r="U290" s="112">
        <v>0.0</v>
      </c>
      <c r="V290" s="112">
        <v>0.0</v>
      </c>
      <c r="W290" s="112">
        <v>0.0</v>
      </c>
      <c r="X290" s="112">
        <v>11.0</v>
      </c>
      <c r="Y290" s="112">
        <v>0.0</v>
      </c>
      <c r="Z290" s="112">
        <v>0.0</v>
      </c>
      <c r="AA290" s="114"/>
      <c r="AB290" s="126">
        <v>5.0</v>
      </c>
      <c r="AC290" s="100">
        <v>1.0</v>
      </c>
      <c r="AD290" s="100" t="s">
        <v>40</v>
      </c>
    </row>
    <row r="291">
      <c r="A291" s="106" t="s">
        <v>348</v>
      </c>
      <c r="B291" s="107">
        <v>3.0</v>
      </c>
      <c r="C291" s="107">
        <v>0.0</v>
      </c>
      <c r="D291" s="107">
        <v>0.0</v>
      </c>
      <c r="E291" s="107">
        <v>0.0</v>
      </c>
      <c r="F291" s="107">
        <v>0.0</v>
      </c>
      <c r="G291" s="107">
        <v>0.0</v>
      </c>
      <c r="H291" s="107">
        <v>0.0</v>
      </c>
      <c r="I291" s="107">
        <v>0.0</v>
      </c>
      <c r="J291" s="107">
        <v>0.0</v>
      </c>
      <c r="K291" s="107">
        <v>1.0</v>
      </c>
      <c r="L291" s="107">
        <v>0.0</v>
      </c>
      <c r="M291" s="107">
        <v>0.0</v>
      </c>
      <c r="N291" s="107">
        <v>0.0</v>
      </c>
      <c r="O291" s="107">
        <v>0.0</v>
      </c>
      <c r="P291" s="107">
        <v>0.0</v>
      </c>
      <c r="Q291" s="107">
        <v>0.0</v>
      </c>
      <c r="R291" s="117" t="s">
        <v>99</v>
      </c>
      <c r="S291" s="107">
        <v>8.0</v>
      </c>
      <c r="T291" s="107">
        <v>7.0</v>
      </c>
      <c r="U291" s="107">
        <v>5.0</v>
      </c>
      <c r="V291" s="107">
        <v>5.0</v>
      </c>
      <c r="W291" s="107">
        <v>5.0</v>
      </c>
      <c r="X291" s="107">
        <v>12.0</v>
      </c>
      <c r="Y291" s="107">
        <v>0.0</v>
      </c>
      <c r="Z291" s="107">
        <v>4.375</v>
      </c>
      <c r="AA291" s="109"/>
      <c r="AB291" s="125">
        <v>6.0</v>
      </c>
      <c r="AC291" s="100">
        <v>1.0</v>
      </c>
      <c r="AD291" s="100" t="s">
        <v>42</v>
      </c>
    </row>
    <row r="292">
      <c r="A292" s="106" t="s">
        <v>349</v>
      </c>
      <c r="B292" s="112">
        <v>4.0</v>
      </c>
      <c r="C292" s="112">
        <v>1.0</v>
      </c>
      <c r="D292" s="112">
        <v>1.0</v>
      </c>
      <c r="E292" s="112">
        <v>2.0</v>
      </c>
      <c r="F292" s="112">
        <v>0.25</v>
      </c>
      <c r="G292" s="112">
        <v>0.0</v>
      </c>
      <c r="H292" s="112">
        <v>0.0</v>
      </c>
      <c r="I292" s="112">
        <v>1.0</v>
      </c>
      <c r="J292" s="112">
        <v>1.0</v>
      </c>
      <c r="K292" s="112">
        <v>1.0</v>
      </c>
      <c r="L292" s="112">
        <v>0.0</v>
      </c>
      <c r="M292" s="112">
        <v>0.0</v>
      </c>
      <c r="N292" s="112">
        <v>0.0</v>
      </c>
      <c r="O292" s="112">
        <v>0.4</v>
      </c>
      <c r="P292" s="112">
        <v>1.0</v>
      </c>
      <c r="Q292" s="112">
        <v>0.0</v>
      </c>
      <c r="R292" s="118"/>
      <c r="AB292" s="127">
        <v>7.0</v>
      </c>
      <c r="AC292" s="100">
        <v>1.0</v>
      </c>
      <c r="AD292" s="100" t="s">
        <v>40</v>
      </c>
    </row>
    <row r="293">
      <c r="A293" s="106" t="s">
        <v>350</v>
      </c>
      <c r="B293" s="107">
        <v>2.0</v>
      </c>
      <c r="C293" s="107">
        <v>0.0</v>
      </c>
      <c r="D293" s="107">
        <v>1.0</v>
      </c>
      <c r="E293" s="107">
        <v>0.0</v>
      </c>
      <c r="F293" s="107">
        <v>0.5</v>
      </c>
      <c r="G293" s="107">
        <v>0.0</v>
      </c>
      <c r="H293" s="107">
        <v>0.0</v>
      </c>
      <c r="I293" s="107">
        <v>0.0</v>
      </c>
      <c r="J293" s="107">
        <v>1.0</v>
      </c>
      <c r="K293" s="107">
        <v>1.0</v>
      </c>
      <c r="L293" s="107">
        <v>0.0</v>
      </c>
      <c r="M293" s="107">
        <v>0.0</v>
      </c>
      <c r="N293" s="107">
        <v>0.0</v>
      </c>
      <c r="O293" s="107">
        <v>0.667</v>
      </c>
      <c r="P293" s="107">
        <v>0.5</v>
      </c>
      <c r="Q293" s="107">
        <v>1.0</v>
      </c>
      <c r="AD293" s="119"/>
    </row>
    <row r="294">
      <c r="A294" s="106" t="s">
        <v>351</v>
      </c>
      <c r="B294" s="112">
        <v>4.0</v>
      </c>
      <c r="C294" s="112">
        <v>1.0</v>
      </c>
      <c r="D294" s="112">
        <v>0.0</v>
      </c>
      <c r="E294" s="112">
        <v>0.0</v>
      </c>
      <c r="F294" s="112">
        <v>0.0</v>
      </c>
      <c r="G294" s="112">
        <v>0.0</v>
      </c>
      <c r="H294" s="112">
        <v>0.0</v>
      </c>
      <c r="I294" s="112">
        <v>0.0</v>
      </c>
      <c r="J294" s="112">
        <v>1.0</v>
      </c>
      <c r="K294" s="112">
        <v>1.0</v>
      </c>
      <c r="L294" s="112">
        <v>0.0</v>
      </c>
      <c r="M294" s="112">
        <v>0.0</v>
      </c>
      <c r="N294" s="112">
        <v>0.0</v>
      </c>
      <c r="O294" s="112">
        <v>0.2</v>
      </c>
      <c r="P294" s="112">
        <v>0.0</v>
      </c>
      <c r="Q294" s="112">
        <v>0.0</v>
      </c>
      <c r="AD294" s="119"/>
    </row>
    <row r="295">
      <c r="A295" s="106" t="s">
        <v>352</v>
      </c>
      <c r="B295" s="107">
        <v>3.0</v>
      </c>
      <c r="C295" s="107">
        <v>0.0</v>
      </c>
      <c r="D295" s="107">
        <v>1.0</v>
      </c>
      <c r="E295" s="107">
        <v>1.0</v>
      </c>
      <c r="F295" s="107">
        <v>0.333</v>
      </c>
      <c r="G295" s="107">
        <v>0.0</v>
      </c>
      <c r="H295" s="107">
        <v>0.0</v>
      </c>
      <c r="I295" s="107">
        <v>0.0</v>
      </c>
      <c r="J295" s="107">
        <v>1.0</v>
      </c>
      <c r="K295" s="107">
        <v>0.0</v>
      </c>
      <c r="L295" s="107">
        <v>0.0</v>
      </c>
      <c r="M295" s="107">
        <v>0.0</v>
      </c>
      <c r="N295" s="107">
        <v>1.0</v>
      </c>
      <c r="O295" s="107">
        <v>0.6</v>
      </c>
      <c r="P295" s="107">
        <v>0.333</v>
      </c>
      <c r="Q295" s="107">
        <v>0.0</v>
      </c>
      <c r="AD295" s="119"/>
    </row>
    <row r="296">
      <c r="A296" s="106" t="s">
        <v>353</v>
      </c>
      <c r="B296" s="112">
        <v>3.0</v>
      </c>
      <c r="C296" s="112">
        <v>0.0</v>
      </c>
      <c r="D296" s="112">
        <v>1.0</v>
      </c>
      <c r="E296" s="112">
        <v>1.0</v>
      </c>
      <c r="F296" s="112">
        <v>0.333</v>
      </c>
      <c r="G296" s="112">
        <v>0.0</v>
      </c>
      <c r="H296" s="112">
        <v>0.0</v>
      </c>
      <c r="I296" s="112">
        <v>0.0</v>
      </c>
      <c r="J296" s="112">
        <v>1.0</v>
      </c>
      <c r="K296" s="112">
        <v>0.0</v>
      </c>
      <c r="L296" s="112">
        <v>0.0</v>
      </c>
      <c r="M296" s="112">
        <v>0.0</v>
      </c>
      <c r="N296" s="112">
        <v>0.0</v>
      </c>
      <c r="O296" s="112">
        <v>0.5</v>
      </c>
      <c r="P296" s="112">
        <v>0.333</v>
      </c>
      <c r="Q296" s="112">
        <v>2.0</v>
      </c>
      <c r="AD296" s="119"/>
    </row>
    <row r="297">
      <c r="A297" s="106" t="s">
        <v>354</v>
      </c>
      <c r="B297" s="107">
        <v>0.0</v>
      </c>
      <c r="C297" s="107">
        <v>1.0</v>
      </c>
      <c r="D297" s="107">
        <v>0.0</v>
      </c>
      <c r="E297" s="107">
        <v>0.0</v>
      </c>
      <c r="F297" s="107">
        <v>0.0</v>
      </c>
      <c r="G297" s="107">
        <v>0.0</v>
      </c>
      <c r="H297" s="107">
        <v>0.0</v>
      </c>
      <c r="I297" s="107">
        <v>0.0</v>
      </c>
      <c r="J297" s="107">
        <v>1.0</v>
      </c>
      <c r="K297" s="107">
        <v>0.0</v>
      </c>
      <c r="L297" s="107">
        <v>0.0</v>
      </c>
      <c r="M297" s="107">
        <v>0.0</v>
      </c>
      <c r="N297" s="107">
        <v>0.0</v>
      </c>
      <c r="O297" s="107">
        <v>1.0</v>
      </c>
      <c r="P297" s="107">
        <v>0.0</v>
      </c>
      <c r="Q297" s="107">
        <v>0.0</v>
      </c>
      <c r="AD297" s="119"/>
    </row>
    <row r="298">
      <c r="A298" s="106" t="s">
        <v>355</v>
      </c>
      <c r="B298" s="112">
        <v>0.0</v>
      </c>
      <c r="C298" s="112">
        <v>0.0</v>
      </c>
      <c r="D298" s="112">
        <v>0.0</v>
      </c>
      <c r="E298" s="112">
        <v>1.0</v>
      </c>
      <c r="F298" s="112">
        <v>0.0</v>
      </c>
      <c r="G298" s="112">
        <v>0.0</v>
      </c>
      <c r="H298" s="112">
        <v>0.0</v>
      </c>
      <c r="I298" s="112">
        <v>0.0</v>
      </c>
      <c r="J298" s="112">
        <v>0.0</v>
      </c>
      <c r="K298" s="112">
        <v>0.0</v>
      </c>
      <c r="L298" s="112">
        <v>0.0</v>
      </c>
      <c r="M298" s="112">
        <v>0.0</v>
      </c>
      <c r="N298" s="112">
        <v>1.0</v>
      </c>
      <c r="O298" s="112">
        <v>1.0</v>
      </c>
      <c r="P298" s="112">
        <v>0.0</v>
      </c>
      <c r="Q298" s="112">
        <v>0.0</v>
      </c>
      <c r="AD298" s="119"/>
    </row>
    <row r="299">
      <c r="A299" s="106" t="s">
        <v>356</v>
      </c>
      <c r="B299" s="107">
        <v>1.0</v>
      </c>
      <c r="C299" s="107">
        <v>0.0</v>
      </c>
      <c r="D299" s="107">
        <v>0.0</v>
      </c>
      <c r="E299" s="107">
        <v>0.0</v>
      </c>
      <c r="F299" s="107">
        <v>0.0</v>
      </c>
      <c r="G299" s="107">
        <v>0.0</v>
      </c>
      <c r="H299" s="107">
        <v>0.0</v>
      </c>
      <c r="I299" s="107">
        <v>0.0</v>
      </c>
      <c r="J299" s="107">
        <v>0.0</v>
      </c>
      <c r="K299" s="107">
        <v>1.0</v>
      </c>
      <c r="L299" s="107">
        <v>0.0</v>
      </c>
      <c r="M299" s="107">
        <v>0.0</v>
      </c>
      <c r="N299" s="107">
        <v>0.0</v>
      </c>
      <c r="O299" s="107">
        <v>0.0</v>
      </c>
      <c r="P299" s="107">
        <v>0.0</v>
      </c>
      <c r="Q299" s="107">
        <v>0.0</v>
      </c>
      <c r="AD299" s="119"/>
    </row>
    <row r="300">
      <c r="A300" s="120" t="s">
        <v>99</v>
      </c>
      <c r="B300" s="112">
        <v>28.0</v>
      </c>
      <c r="C300" s="112">
        <v>6.0</v>
      </c>
      <c r="D300" s="112">
        <v>5.0</v>
      </c>
      <c r="E300" s="112">
        <v>5.0</v>
      </c>
      <c r="F300" s="112">
        <v>0.179</v>
      </c>
      <c r="G300" s="112">
        <v>0.0</v>
      </c>
      <c r="H300" s="112">
        <v>0.0</v>
      </c>
      <c r="I300" s="112">
        <v>1.0</v>
      </c>
      <c r="J300" s="112">
        <v>9.0</v>
      </c>
      <c r="K300" s="112">
        <v>9.0</v>
      </c>
      <c r="L300" s="112">
        <v>0.0</v>
      </c>
      <c r="M300" s="112">
        <v>1.0</v>
      </c>
      <c r="N300" s="112">
        <v>2.0</v>
      </c>
      <c r="O300" s="112">
        <v>0.41</v>
      </c>
      <c r="P300" s="112">
        <v>0.286</v>
      </c>
      <c r="Q300" s="112">
        <v>6.0</v>
      </c>
      <c r="AD300" s="119"/>
    </row>
    <row r="301">
      <c r="A301" s="118"/>
      <c r="AD301" s="119"/>
    </row>
    <row r="302">
      <c r="A302" s="98" t="s">
        <v>84</v>
      </c>
      <c r="Q302" s="99"/>
      <c r="AD302" s="119"/>
    </row>
    <row r="303">
      <c r="A303" s="101" t="s">
        <v>87</v>
      </c>
      <c r="B303" s="102" t="s">
        <v>3</v>
      </c>
      <c r="C303" s="102" t="s">
        <v>63</v>
      </c>
      <c r="D303" s="102" t="s">
        <v>62</v>
      </c>
      <c r="E303" s="102" t="s">
        <v>6</v>
      </c>
      <c r="F303" s="102" t="s">
        <v>18</v>
      </c>
      <c r="G303" s="102" t="s">
        <v>8</v>
      </c>
      <c r="H303" s="102" t="s">
        <v>9</v>
      </c>
      <c r="I303" s="102" t="s">
        <v>10</v>
      </c>
      <c r="J303" s="102" t="s">
        <v>12</v>
      </c>
      <c r="K303" s="102" t="s">
        <v>88</v>
      </c>
      <c r="L303" s="102" t="s">
        <v>15</v>
      </c>
      <c r="M303" s="102" t="s">
        <v>16</v>
      </c>
      <c r="N303" s="102" t="s">
        <v>14</v>
      </c>
      <c r="O303" s="102" t="s">
        <v>19</v>
      </c>
      <c r="P303" s="102" t="s">
        <v>20</v>
      </c>
      <c r="Q303" s="102" t="s">
        <v>11</v>
      </c>
      <c r="R303" s="101" t="s">
        <v>89</v>
      </c>
      <c r="S303" s="102" t="s">
        <v>61</v>
      </c>
      <c r="T303" s="102" t="s">
        <v>62</v>
      </c>
      <c r="U303" s="102" t="s">
        <v>63</v>
      </c>
      <c r="V303" s="102" t="s">
        <v>64</v>
      </c>
      <c r="W303" s="102" t="s">
        <v>12</v>
      </c>
      <c r="X303" s="102" t="s">
        <v>88</v>
      </c>
      <c r="Y303" s="102" t="s">
        <v>10</v>
      </c>
      <c r="Z303" s="102" t="s">
        <v>70</v>
      </c>
      <c r="AA303" s="103"/>
      <c r="AB303" s="124">
        <v>1.0</v>
      </c>
      <c r="AC303" s="100">
        <v>1.0</v>
      </c>
      <c r="AD303" s="100" t="s">
        <v>41</v>
      </c>
    </row>
    <row r="304">
      <c r="A304" s="106" t="s">
        <v>357</v>
      </c>
      <c r="B304" s="107">
        <v>1.0</v>
      </c>
      <c r="C304" s="107">
        <v>1.0</v>
      </c>
      <c r="D304" s="107">
        <v>1.0</v>
      </c>
      <c r="E304" s="107">
        <v>0.0</v>
      </c>
      <c r="F304" s="107">
        <v>1.0</v>
      </c>
      <c r="G304" s="107">
        <v>0.0</v>
      </c>
      <c r="H304" s="107">
        <v>0.0</v>
      </c>
      <c r="I304" s="107">
        <v>0.0</v>
      </c>
      <c r="J304" s="107">
        <v>2.0</v>
      </c>
      <c r="K304" s="107">
        <v>0.0</v>
      </c>
      <c r="L304" s="107">
        <v>0.0</v>
      </c>
      <c r="M304" s="107">
        <v>0.0</v>
      </c>
      <c r="N304" s="107">
        <v>0.0</v>
      </c>
      <c r="O304" s="107">
        <v>1.0</v>
      </c>
      <c r="P304" s="107">
        <v>1.0</v>
      </c>
      <c r="Q304" s="107">
        <v>2.0</v>
      </c>
      <c r="R304" s="106" t="s">
        <v>358</v>
      </c>
      <c r="S304" s="107">
        <v>7.0</v>
      </c>
      <c r="T304" s="107">
        <v>5.0</v>
      </c>
      <c r="U304" s="107">
        <v>2.0</v>
      </c>
      <c r="V304" s="107">
        <v>2.0</v>
      </c>
      <c r="W304" s="107">
        <v>3.0</v>
      </c>
      <c r="X304" s="107">
        <v>7.0</v>
      </c>
      <c r="Y304" s="107">
        <v>0.0</v>
      </c>
      <c r="Z304" s="107">
        <v>2.0</v>
      </c>
      <c r="AA304" s="109"/>
      <c r="AB304" s="125">
        <v>2.0</v>
      </c>
      <c r="AD304" s="119"/>
    </row>
    <row r="305">
      <c r="A305" s="106" t="s">
        <v>359</v>
      </c>
      <c r="B305" s="112">
        <v>2.0</v>
      </c>
      <c r="C305" s="112">
        <v>0.0</v>
      </c>
      <c r="D305" s="112">
        <v>1.0</v>
      </c>
      <c r="E305" s="112">
        <v>0.0</v>
      </c>
      <c r="F305" s="112">
        <v>0.5</v>
      </c>
      <c r="G305" s="112">
        <v>0.0</v>
      </c>
      <c r="H305" s="112">
        <v>0.0</v>
      </c>
      <c r="I305" s="112">
        <v>0.0</v>
      </c>
      <c r="J305" s="112">
        <v>0.0</v>
      </c>
      <c r="K305" s="112">
        <v>0.0</v>
      </c>
      <c r="L305" s="112">
        <v>0.0</v>
      </c>
      <c r="M305" s="112">
        <v>1.0</v>
      </c>
      <c r="N305" s="112">
        <v>0.0</v>
      </c>
      <c r="O305" s="112">
        <v>0.5</v>
      </c>
      <c r="P305" s="112">
        <v>0.5</v>
      </c>
      <c r="Q305" s="112">
        <v>0.0</v>
      </c>
      <c r="R305" s="120" t="s">
        <v>99</v>
      </c>
      <c r="S305" s="112">
        <v>7.0</v>
      </c>
      <c r="T305" s="112">
        <v>5.0</v>
      </c>
      <c r="U305" s="112">
        <v>2.0</v>
      </c>
      <c r="V305" s="112">
        <v>2.0</v>
      </c>
      <c r="W305" s="112">
        <v>3.0</v>
      </c>
      <c r="X305" s="112">
        <v>7.0</v>
      </c>
      <c r="Y305" s="112">
        <v>0.0</v>
      </c>
      <c r="Z305" s="112">
        <v>2.0</v>
      </c>
      <c r="AA305" s="114"/>
      <c r="AB305" s="126">
        <v>3.0</v>
      </c>
      <c r="AC305" s="100">
        <v>1.0</v>
      </c>
      <c r="AD305" s="100" t="s">
        <v>44</v>
      </c>
    </row>
    <row r="306">
      <c r="A306" s="106" t="s">
        <v>360</v>
      </c>
      <c r="B306" s="107">
        <v>2.0</v>
      </c>
      <c r="C306" s="107">
        <v>1.0</v>
      </c>
      <c r="D306" s="107">
        <v>1.0</v>
      </c>
      <c r="E306" s="107">
        <v>1.0</v>
      </c>
      <c r="F306" s="107">
        <v>0.5</v>
      </c>
      <c r="G306" s="107">
        <v>0.0</v>
      </c>
      <c r="H306" s="107">
        <v>0.0</v>
      </c>
      <c r="I306" s="107">
        <v>0.0</v>
      </c>
      <c r="J306" s="107">
        <v>1.0</v>
      </c>
      <c r="K306" s="107">
        <v>0.0</v>
      </c>
      <c r="L306" s="107">
        <v>1.0</v>
      </c>
      <c r="M306" s="107">
        <v>0.0</v>
      </c>
      <c r="N306" s="107">
        <v>0.0</v>
      </c>
      <c r="O306" s="107">
        <v>0.5</v>
      </c>
      <c r="P306" s="107">
        <v>0.5</v>
      </c>
      <c r="Q306" s="107">
        <v>2.0</v>
      </c>
      <c r="R306" s="118"/>
      <c r="AB306" s="125">
        <v>4.0</v>
      </c>
      <c r="AC306" s="100">
        <v>3.0</v>
      </c>
      <c r="AD306" s="100" t="s">
        <v>35</v>
      </c>
    </row>
    <row r="307">
      <c r="A307" s="106" t="s">
        <v>361</v>
      </c>
      <c r="B307" s="113">
        <v>2.0</v>
      </c>
      <c r="C307" s="112">
        <v>1.0</v>
      </c>
      <c r="D307" s="112">
        <v>0.0</v>
      </c>
      <c r="E307" s="112">
        <v>0.0</v>
      </c>
      <c r="F307" s="112">
        <v>0.0</v>
      </c>
      <c r="G307" s="112">
        <v>0.0</v>
      </c>
      <c r="H307" s="112">
        <v>0.0</v>
      </c>
      <c r="I307" s="112">
        <v>0.0</v>
      </c>
      <c r="J307" s="112">
        <v>1.0</v>
      </c>
      <c r="K307" s="112">
        <v>0.0</v>
      </c>
      <c r="L307" s="112">
        <v>0.0</v>
      </c>
      <c r="M307" s="112">
        <v>0.0</v>
      </c>
      <c r="N307" s="112">
        <v>0.0</v>
      </c>
      <c r="O307" s="112">
        <v>0.25</v>
      </c>
      <c r="P307" s="112">
        <v>0.0</v>
      </c>
      <c r="Q307" s="112">
        <v>0.0</v>
      </c>
      <c r="AB307" s="126">
        <v>5.0</v>
      </c>
      <c r="AD307" s="119"/>
    </row>
    <row r="308">
      <c r="A308" s="106" t="s">
        <v>362</v>
      </c>
      <c r="B308" s="107">
        <v>1.0</v>
      </c>
      <c r="C308" s="107">
        <v>0.0</v>
      </c>
      <c r="D308" s="107">
        <v>0.0</v>
      </c>
      <c r="E308" s="107">
        <v>0.0</v>
      </c>
      <c r="F308" s="107">
        <v>0.0</v>
      </c>
      <c r="G308" s="107">
        <v>0.0</v>
      </c>
      <c r="H308" s="107">
        <v>0.0</v>
      </c>
      <c r="I308" s="107">
        <v>0.0</v>
      </c>
      <c r="J308" s="107">
        <v>0.0</v>
      </c>
      <c r="K308" s="107">
        <v>1.0</v>
      </c>
      <c r="L308" s="107">
        <v>0.0</v>
      </c>
      <c r="M308" s="107">
        <v>0.0</v>
      </c>
      <c r="N308" s="107">
        <v>0.0</v>
      </c>
      <c r="O308" s="107">
        <v>0.0</v>
      </c>
      <c r="P308" s="107">
        <v>0.0</v>
      </c>
      <c r="Q308" s="107">
        <v>0.0</v>
      </c>
      <c r="AB308" s="125">
        <v>6.0</v>
      </c>
      <c r="AD308" s="119"/>
    </row>
    <row r="309">
      <c r="A309" s="106" t="s">
        <v>363</v>
      </c>
      <c r="B309" s="112">
        <v>1.0</v>
      </c>
      <c r="C309" s="112">
        <v>0.0</v>
      </c>
      <c r="D309" s="112">
        <v>0.0</v>
      </c>
      <c r="E309" s="112">
        <v>0.0</v>
      </c>
      <c r="F309" s="112">
        <v>0.0</v>
      </c>
      <c r="G309" s="112">
        <v>0.0</v>
      </c>
      <c r="H309" s="112">
        <v>0.0</v>
      </c>
      <c r="I309" s="112">
        <v>0.0</v>
      </c>
      <c r="J309" s="112">
        <v>0.0</v>
      </c>
      <c r="K309" s="112">
        <v>0.0</v>
      </c>
      <c r="L309" s="112">
        <v>0.0</v>
      </c>
      <c r="M309" s="112">
        <v>0.0</v>
      </c>
      <c r="N309" s="112">
        <v>0.0</v>
      </c>
      <c r="O309" s="112">
        <v>0.0</v>
      </c>
      <c r="P309" s="112">
        <v>0.0</v>
      </c>
      <c r="Q309" s="112">
        <v>0.0</v>
      </c>
      <c r="AB309" s="127">
        <v>7.0</v>
      </c>
      <c r="AD309" s="119"/>
    </row>
    <row r="310">
      <c r="A310" s="106" t="s">
        <v>364</v>
      </c>
      <c r="B310" s="107">
        <v>0.0</v>
      </c>
      <c r="C310" s="107">
        <v>0.0</v>
      </c>
      <c r="D310" s="107">
        <v>0.0</v>
      </c>
      <c r="E310" s="107">
        <v>2.0</v>
      </c>
      <c r="F310" s="107">
        <v>0.0</v>
      </c>
      <c r="G310" s="107">
        <v>0.0</v>
      </c>
      <c r="H310" s="107">
        <v>0.0</v>
      </c>
      <c r="I310" s="107">
        <v>0.0</v>
      </c>
      <c r="J310" s="107">
        <v>1.0</v>
      </c>
      <c r="K310" s="107">
        <v>0.0</v>
      </c>
      <c r="L310" s="107">
        <v>2.0</v>
      </c>
      <c r="M310" s="107">
        <v>0.0</v>
      </c>
      <c r="N310" s="107">
        <v>0.0</v>
      </c>
      <c r="O310" s="107">
        <v>0.333</v>
      </c>
      <c r="P310" s="107">
        <v>0.0</v>
      </c>
      <c r="Q310" s="107">
        <v>1.0</v>
      </c>
      <c r="AD310" s="119"/>
    </row>
    <row r="311">
      <c r="A311" s="106" t="s">
        <v>365</v>
      </c>
      <c r="B311" s="112">
        <v>2.0</v>
      </c>
      <c r="C311" s="112">
        <v>2.0</v>
      </c>
      <c r="D311" s="112">
        <v>1.0</v>
      </c>
      <c r="E311" s="112">
        <v>0.0</v>
      </c>
      <c r="F311" s="112">
        <v>0.5</v>
      </c>
      <c r="G311" s="112">
        <v>1.0</v>
      </c>
      <c r="H311" s="112">
        <v>0.0</v>
      </c>
      <c r="I311" s="112">
        <v>0.0</v>
      </c>
      <c r="J311" s="112">
        <v>1.0</v>
      </c>
      <c r="K311" s="112">
        <v>0.0</v>
      </c>
      <c r="L311" s="112">
        <v>0.0</v>
      </c>
      <c r="M311" s="112">
        <v>0.0</v>
      </c>
      <c r="N311" s="112">
        <v>0.0</v>
      </c>
      <c r="O311" s="112">
        <v>0.667</v>
      </c>
      <c r="P311" s="112">
        <v>1.0</v>
      </c>
      <c r="Q311" s="112">
        <v>1.0</v>
      </c>
      <c r="AD311" s="119"/>
    </row>
    <row r="312">
      <c r="A312" s="106" t="s">
        <v>366</v>
      </c>
      <c r="B312" s="107">
        <v>3.0</v>
      </c>
      <c r="C312" s="107">
        <v>2.0</v>
      </c>
      <c r="D312" s="107">
        <v>1.0</v>
      </c>
      <c r="E312" s="107">
        <v>2.0</v>
      </c>
      <c r="F312" s="107">
        <v>0.333</v>
      </c>
      <c r="G312" s="107">
        <v>0.0</v>
      </c>
      <c r="H312" s="107">
        <v>0.0</v>
      </c>
      <c r="I312" s="107">
        <v>0.0</v>
      </c>
      <c r="J312" s="107">
        <v>1.0</v>
      </c>
      <c r="K312" s="107">
        <v>0.0</v>
      </c>
      <c r="L312" s="107">
        <v>0.0</v>
      </c>
      <c r="M312" s="107">
        <v>0.0</v>
      </c>
      <c r="N312" s="107">
        <v>0.0</v>
      </c>
      <c r="O312" s="107">
        <v>0.5</v>
      </c>
      <c r="P312" s="107">
        <v>0.333</v>
      </c>
      <c r="Q312" s="107">
        <v>1.0</v>
      </c>
      <c r="AD312" s="119"/>
    </row>
    <row r="313">
      <c r="A313" s="106" t="s">
        <v>367</v>
      </c>
      <c r="B313" s="112">
        <v>2.0</v>
      </c>
      <c r="C313" s="112">
        <v>0.0</v>
      </c>
      <c r="D313" s="112">
        <v>1.0</v>
      </c>
      <c r="E313" s="112">
        <v>1.0</v>
      </c>
      <c r="F313" s="112">
        <v>0.5</v>
      </c>
      <c r="G313" s="112">
        <v>1.0</v>
      </c>
      <c r="H313" s="112">
        <v>0.0</v>
      </c>
      <c r="I313" s="112">
        <v>0.0</v>
      </c>
      <c r="J313" s="112">
        <v>0.0</v>
      </c>
      <c r="K313" s="112">
        <v>0.0</v>
      </c>
      <c r="L313" s="112">
        <v>0.0</v>
      </c>
      <c r="M313" s="112">
        <v>0.0</v>
      </c>
      <c r="N313" s="112">
        <v>0.0</v>
      </c>
      <c r="O313" s="112">
        <v>0.5</v>
      </c>
      <c r="P313" s="112">
        <v>1.0</v>
      </c>
      <c r="Q313" s="112">
        <v>0.0</v>
      </c>
      <c r="AD313" s="119"/>
    </row>
    <row r="314">
      <c r="A314" s="106" t="s">
        <v>368</v>
      </c>
      <c r="B314" s="107">
        <v>2.0</v>
      </c>
      <c r="C314" s="107">
        <v>1.0</v>
      </c>
      <c r="D314" s="107">
        <v>1.0</v>
      </c>
      <c r="E314" s="107">
        <v>2.0</v>
      </c>
      <c r="F314" s="107">
        <v>0.5</v>
      </c>
      <c r="G314" s="107">
        <v>0.0</v>
      </c>
      <c r="H314" s="107">
        <v>0.0</v>
      </c>
      <c r="I314" s="107">
        <v>1.0</v>
      </c>
      <c r="J314" s="107">
        <v>1.0</v>
      </c>
      <c r="K314" s="107">
        <v>0.0</v>
      </c>
      <c r="L314" s="107">
        <v>0.0</v>
      </c>
      <c r="M314" s="107">
        <v>0.0</v>
      </c>
      <c r="N314" s="107">
        <v>0.0</v>
      </c>
      <c r="O314" s="107">
        <v>0.667</v>
      </c>
      <c r="P314" s="107">
        <v>2.0</v>
      </c>
      <c r="Q314" s="107">
        <v>1.0</v>
      </c>
      <c r="AD314" s="119"/>
    </row>
    <row r="315">
      <c r="A315" s="106" t="s">
        <v>369</v>
      </c>
      <c r="B315" s="112">
        <v>1.0</v>
      </c>
      <c r="C315" s="112">
        <v>0.0</v>
      </c>
      <c r="D315" s="112">
        <v>0.0</v>
      </c>
      <c r="E315" s="112">
        <v>0.0</v>
      </c>
      <c r="F315" s="112">
        <v>0.0</v>
      </c>
      <c r="G315" s="112">
        <v>0.0</v>
      </c>
      <c r="H315" s="112">
        <v>0.0</v>
      </c>
      <c r="I315" s="112">
        <v>0.0</v>
      </c>
      <c r="J315" s="112">
        <v>0.0</v>
      </c>
      <c r="K315" s="112">
        <v>0.0</v>
      </c>
      <c r="L315" s="112">
        <v>0.0</v>
      </c>
      <c r="M315" s="112">
        <v>0.0</v>
      </c>
      <c r="N315" s="112">
        <v>0.0</v>
      </c>
      <c r="O315" s="112">
        <v>0.0</v>
      </c>
      <c r="P315" s="112">
        <v>0.0</v>
      </c>
      <c r="Q315" s="112">
        <v>0.0</v>
      </c>
      <c r="AD315" s="119"/>
    </row>
    <row r="316">
      <c r="A316" s="117" t="s">
        <v>99</v>
      </c>
      <c r="B316" s="107">
        <v>20.0</v>
      </c>
      <c r="C316" s="107">
        <v>8.0</v>
      </c>
      <c r="D316" s="107">
        <v>7.0</v>
      </c>
      <c r="E316" s="107">
        <v>8.0</v>
      </c>
      <c r="F316" s="107">
        <v>0.35</v>
      </c>
      <c r="G316" s="107">
        <v>2.0</v>
      </c>
      <c r="H316" s="107">
        <v>0.0</v>
      </c>
      <c r="I316" s="107">
        <v>1.0</v>
      </c>
      <c r="J316" s="107">
        <v>8.0</v>
      </c>
      <c r="K316" s="107">
        <v>1.0</v>
      </c>
      <c r="L316" s="107">
        <v>3.0</v>
      </c>
      <c r="M316" s="107">
        <v>1.0</v>
      </c>
      <c r="N316" s="107">
        <v>0.0</v>
      </c>
      <c r="O316" s="107">
        <v>0.484</v>
      </c>
      <c r="P316" s="107">
        <v>0.6</v>
      </c>
      <c r="Q316" s="107">
        <v>8.0</v>
      </c>
      <c r="AD316" s="119"/>
    </row>
    <row r="317">
      <c r="A317" s="118"/>
      <c r="AD317" s="119"/>
    </row>
    <row r="318">
      <c r="A318" s="98" t="s">
        <v>84</v>
      </c>
      <c r="Q318" s="99"/>
      <c r="R318" s="101" t="s">
        <v>89</v>
      </c>
      <c r="S318" s="102" t="s">
        <v>61</v>
      </c>
      <c r="T318" s="102" t="s">
        <v>62</v>
      </c>
      <c r="U318" s="102" t="s">
        <v>63</v>
      </c>
      <c r="V318" s="102" t="s">
        <v>64</v>
      </c>
      <c r="W318" s="102" t="s">
        <v>12</v>
      </c>
      <c r="X318" s="102" t="s">
        <v>88</v>
      </c>
      <c r="Y318" s="102" t="s">
        <v>10</v>
      </c>
      <c r="Z318" s="102" t="s">
        <v>70</v>
      </c>
      <c r="AA318" s="103"/>
      <c r="AB318" s="124">
        <v>1.0</v>
      </c>
      <c r="AC318" s="100">
        <v>1.0</v>
      </c>
      <c r="AD318" s="100" t="s">
        <v>44</v>
      </c>
    </row>
    <row r="319">
      <c r="A319" s="101" t="s">
        <v>87</v>
      </c>
      <c r="B319" s="102" t="s">
        <v>3</v>
      </c>
      <c r="C319" s="102" t="s">
        <v>63</v>
      </c>
      <c r="D319" s="102" t="s">
        <v>62</v>
      </c>
      <c r="E319" s="102" t="s">
        <v>6</v>
      </c>
      <c r="F319" s="102" t="s">
        <v>18</v>
      </c>
      <c r="G319" s="102" t="s">
        <v>8</v>
      </c>
      <c r="H319" s="102" t="s">
        <v>9</v>
      </c>
      <c r="I319" s="102" t="s">
        <v>10</v>
      </c>
      <c r="J319" s="102" t="s">
        <v>12</v>
      </c>
      <c r="K319" s="102" t="s">
        <v>88</v>
      </c>
      <c r="L319" s="102" t="s">
        <v>15</v>
      </c>
      <c r="M319" s="102" t="s">
        <v>16</v>
      </c>
      <c r="N319" s="102" t="s">
        <v>14</v>
      </c>
      <c r="O319" s="102" t="s">
        <v>19</v>
      </c>
      <c r="P319" s="102" t="s">
        <v>20</v>
      </c>
      <c r="Q319" s="102" t="s">
        <v>11</v>
      </c>
      <c r="R319" s="106" t="s">
        <v>370</v>
      </c>
      <c r="S319" s="107">
        <v>5.0</v>
      </c>
      <c r="T319" s="107">
        <v>0.0</v>
      </c>
      <c r="U319" s="107">
        <v>0.0</v>
      </c>
      <c r="V319" s="107">
        <v>0.0</v>
      </c>
      <c r="W319" s="107">
        <v>2.0</v>
      </c>
      <c r="X319" s="107">
        <v>8.0</v>
      </c>
      <c r="Y319" s="107">
        <v>0.0</v>
      </c>
      <c r="Z319" s="107">
        <v>0.0</v>
      </c>
      <c r="AA319" s="109"/>
      <c r="AB319" s="125">
        <v>2.0</v>
      </c>
      <c r="AD319" s="119"/>
    </row>
    <row r="320">
      <c r="A320" s="106" t="s">
        <v>371</v>
      </c>
      <c r="B320" s="107">
        <v>2.0</v>
      </c>
      <c r="C320" s="107">
        <v>1.0</v>
      </c>
      <c r="D320" s="107">
        <v>1.0</v>
      </c>
      <c r="E320" s="107">
        <v>1.0</v>
      </c>
      <c r="F320" s="107">
        <v>0.5</v>
      </c>
      <c r="G320" s="107">
        <v>0.0</v>
      </c>
      <c r="H320" s="107">
        <v>0.0</v>
      </c>
      <c r="I320" s="107">
        <v>0.0</v>
      </c>
      <c r="J320" s="107">
        <v>1.0</v>
      </c>
      <c r="K320" s="107">
        <v>0.0</v>
      </c>
      <c r="L320" s="107">
        <v>0.0</v>
      </c>
      <c r="M320" s="107">
        <v>0.0</v>
      </c>
      <c r="N320" s="107">
        <v>0.0</v>
      </c>
      <c r="O320" s="107">
        <v>0.667</v>
      </c>
      <c r="P320" s="107">
        <v>0.5</v>
      </c>
      <c r="Q320" s="107">
        <v>0.0</v>
      </c>
      <c r="R320" s="120" t="s">
        <v>99</v>
      </c>
      <c r="S320" s="112">
        <v>5.0</v>
      </c>
      <c r="T320" s="112">
        <v>0.0</v>
      </c>
      <c r="U320" s="112">
        <v>0.0</v>
      </c>
      <c r="V320" s="112">
        <v>0.0</v>
      </c>
      <c r="W320" s="112">
        <v>2.0</v>
      </c>
      <c r="X320" s="112">
        <v>8.0</v>
      </c>
      <c r="Y320" s="112">
        <v>0.0</v>
      </c>
      <c r="Z320" s="112">
        <v>0.0</v>
      </c>
      <c r="AA320" s="114"/>
      <c r="AB320" s="126">
        <v>3.0</v>
      </c>
      <c r="AC320" s="100">
        <v>1.0</v>
      </c>
      <c r="AD320" s="100" t="s">
        <v>41</v>
      </c>
    </row>
    <row r="321">
      <c r="A321" s="106" t="s">
        <v>372</v>
      </c>
      <c r="B321" s="112">
        <v>2.0</v>
      </c>
      <c r="C321" s="112">
        <v>1.0</v>
      </c>
      <c r="D321" s="112">
        <v>1.0</v>
      </c>
      <c r="E321" s="112">
        <v>1.0</v>
      </c>
      <c r="F321" s="112">
        <v>0.5</v>
      </c>
      <c r="G321" s="112">
        <v>1.0</v>
      </c>
      <c r="H321" s="112">
        <v>0.0</v>
      </c>
      <c r="I321" s="112">
        <v>0.0</v>
      </c>
      <c r="J321" s="112">
        <v>0.0</v>
      </c>
      <c r="K321" s="112">
        <v>0.0</v>
      </c>
      <c r="L321" s="112">
        <v>0.0</v>
      </c>
      <c r="M321" s="112">
        <v>0.0</v>
      </c>
      <c r="N321" s="112">
        <v>0.0</v>
      </c>
      <c r="O321" s="112">
        <v>0.5</v>
      </c>
      <c r="P321" s="112">
        <v>1.0</v>
      </c>
      <c r="Q321" s="112">
        <v>0.0</v>
      </c>
      <c r="R321" s="118"/>
      <c r="AB321" s="125">
        <v>4.0</v>
      </c>
      <c r="AC321" s="100">
        <v>2.0</v>
      </c>
      <c r="AD321" s="100" t="s">
        <v>41</v>
      </c>
    </row>
    <row r="322">
      <c r="A322" s="106" t="s">
        <v>373</v>
      </c>
      <c r="B322" s="107">
        <v>4.0</v>
      </c>
      <c r="C322" s="107">
        <v>2.0</v>
      </c>
      <c r="D322" s="107">
        <v>4.0</v>
      </c>
      <c r="E322" s="107">
        <v>3.0</v>
      </c>
      <c r="F322" s="107">
        <v>1.0</v>
      </c>
      <c r="G322" s="107">
        <v>0.0</v>
      </c>
      <c r="H322" s="107">
        <v>0.0</v>
      </c>
      <c r="I322" s="107">
        <v>1.0</v>
      </c>
      <c r="J322" s="107">
        <v>0.0</v>
      </c>
      <c r="K322" s="107">
        <v>0.0</v>
      </c>
      <c r="L322" s="107">
        <v>0.0</v>
      </c>
      <c r="M322" s="107">
        <v>0.0</v>
      </c>
      <c r="N322" s="107">
        <v>0.0</v>
      </c>
      <c r="O322" s="107">
        <v>1.0</v>
      </c>
      <c r="P322" s="107">
        <v>1.75</v>
      </c>
      <c r="Q322" s="107">
        <v>1.0</v>
      </c>
      <c r="AB322" s="126">
        <v>5.0</v>
      </c>
      <c r="AD322" s="119"/>
    </row>
    <row r="323">
      <c r="A323" s="106" t="s">
        <v>374</v>
      </c>
      <c r="B323" s="112">
        <v>0.0</v>
      </c>
      <c r="C323" s="112">
        <v>0.0</v>
      </c>
      <c r="D323" s="112">
        <v>0.0</v>
      </c>
      <c r="E323" s="112">
        <v>0.0</v>
      </c>
      <c r="F323" s="112">
        <v>0.0</v>
      </c>
      <c r="G323" s="112">
        <v>0.0</v>
      </c>
      <c r="H323" s="112">
        <v>0.0</v>
      </c>
      <c r="I323" s="112">
        <v>0.0</v>
      </c>
      <c r="J323" s="112">
        <v>1.0</v>
      </c>
      <c r="K323" s="112">
        <v>0.0</v>
      </c>
      <c r="L323" s="112">
        <v>0.0</v>
      </c>
      <c r="M323" s="112">
        <v>0.0</v>
      </c>
      <c r="N323" s="112">
        <v>0.0</v>
      </c>
      <c r="O323" s="112">
        <v>1.0</v>
      </c>
      <c r="P323" s="112">
        <v>0.0</v>
      </c>
      <c r="Q323" s="112">
        <v>0.0</v>
      </c>
      <c r="AB323" s="125">
        <v>6.0</v>
      </c>
      <c r="AD323" s="119"/>
    </row>
    <row r="324">
      <c r="A324" s="106" t="s">
        <v>375</v>
      </c>
      <c r="B324" s="107">
        <v>2.0</v>
      </c>
      <c r="C324" s="107">
        <v>2.0</v>
      </c>
      <c r="D324" s="107">
        <v>1.0</v>
      </c>
      <c r="E324" s="107">
        <v>2.0</v>
      </c>
      <c r="F324" s="107">
        <v>0.5</v>
      </c>
      <c r="G324" s="107">
        <v>1.0</v>
      </c>
      <c r="H324" s="107">
        <v>0.0</v>
      </c>
      <c r="I324" s="107">
        <v>0.0</v>
      </c>
      <c r="J324" s="107">
        <v>1.0</v>
      </c>
      <c r="K324" s="107">
        <v>0.0</v>
      </c>
      <c r="L324" s="107">
        <v>0.0</v>
      </c>
      <c r="M324" s="107">
        <v>0.0</v>
      </c>
      <c r="N324" s="107">
        <v>0.0</v>
      </c>
      <c r="O324" s="107">
        <v>0.667</v>
      </c>
      <c r="P324" s="107">
        <v>1.0</v>
      </c>
      <c r="Q324" s="107">
        <v>1.0</v>
      </c>
      <c r="AB324" s="127">
        <v>7.0</v>
      </c>
      <c r="AD324" s="119"/>
    </row>
    <row r="325">
      <c r="A325" s="106" t="s">
        <v>376</v>
      </c>
      <c r="B325" s="112">
        <v>1.0</v>
      </c>
      <c r="C325" s="112">
        <v>2.0</v>
      </c>
      <c r="D325" s="112">
        <v>1.0</v>
      </c>
      <c r="E325" s="112">
        <v>0.0</v>
      </c>
      <c r="F325" s="112">
        <v>1.0</v>
      </c>
      <c r="G325" s="112">
        <v>0.0</v>
      </c>
      <c r="H325" s="112">
        <v>0.0</v>
      </c>
      <c r="I325" s="112">
        <v>0.0</v>
      </c>
      <c r="J325" s="112">
        <v>0.0</v>
      </c>
      <c r="K325" s="112">
        <v>0.0</v>
      </c>
      <c r="L325" s="112">
        <v>0.0</v>
      </c>
      <c r="M325" s="112">
        <v>0.0</v>
      </c>
      <c r="N325" s="112">
        <v>1.0</v>
      </c>
      <c r="O325" s="112">
        <v>1.0</v>
      </c>
      <c r="P325" s="112">
        <v>1.0</v>
      </c>
      <c r="Q325" s="112">
        <v>2.0</v>
      </c>
      <c r="AD325" s="119"/>
    </row>
    <row r="326">
      <c r="A326" s="106" t="s">
        <v>377</v>
      </c>
      <c r="B326" s="107">
        <v>3.0</v>
      </c>
      <c r="C326" s="107">
        <v>1.0</v>
      </c>
      <c r="D326" s="107">
        <v>1.0</v>
      </c>
      <c r="E326" s="107">
        <v>1.0</v>
      </c>
      <c r="F326" s="107">
        <v>0.333</v>
      </c>
      <c r="G326" s="107">
        <v>1.0</v>
      </c>
      <c r="H326" s="107">
        <v>0.0</v>
      </c>
      <c r="I326" s="107">
        <v>0.0</v>
      </c>
      <c r="J326" s="107">
        <v>0.0</v>
      </c>
      <c r="K326" s="107">
        <v>0.0</v>
      </c>
      <c r="L326" s="107">
        <v>0.0</v>
      </c>
      <c r="M326" s="107">
        <v>0.0</v>
      </c>
      <c r="N326" s="107">
        <v>0.0</v>
      </c>
      <c r="O326" s="107">
        <v>0.333</v>
      </c>
      <c r="P326" s="107">
        <v>0.667</v>
      </c>
      <c r="Q326" s="107">
        <v>0.0</v>
      </c>
      <c r="AD326" s="119"/>
    </row>
    <row r="327">
      <c r="A327" s="106" t="s">
        <v>378</v>
      </c>
      <c r="B327" s="112">
        <v>4.0</v>
      </c>
      <c r="C327" s="112">
        <v>0.0</v>
      </c>
      <c r="D327" s="112">
        <v>0.0</v>
      </c>
      <c r="E327" s="112">
        <v>0.0</v>
      </c>
      <c r="F327" s="112">
        <v>0.0</v>
      </c>
      <c r="G327" s="112">
        <v>0.0</v>
      </c>
      <c r="H327" s="112">
        <v>0.0</v>
      </c>
      <c r="I327" s="112">
        <v>0.0</v>
      </c>
      <c r="J327" s="112">
        <v>0.0</v>
      </c>
      <c r="K327" s="112">
        <v>2.0</v>
      </c>
      <c r="L327" s="112">
        <v>0.0</v>
      </c>
      <c r="M327" s="112">
        <v>0.0</v>
      </c>
      <c r="N327" s="112">
        <v>0.0</v>
      </c>
      <c r="O327" s="112">
        <v>0.0</v>
      </c>
      <c r="P327" s="112">
        <v>0.0</v>
      </c>
      <c r="Q327" s="112">
        <v>0.0</v>
      </c>
      <c r="AD327" s="119"/>
    </row>
    <row r="328">
      <c r="A328" s="106" t="s">
        <v>379</v>
      </c>
      <c r="B328" s="107">
        <v>2.0</v>
      </c>
      <c r="C328" s="107">
        <v>1.0</v>
      </c>
      <c r="D328" s="107">
        <v>0.0</v>
      </c>
      <c r="E328" s="107">
        <v>1.0</v>
      </c>
      <c r="F328" s="107">
        <v>0.0</v>
      </c>
      <c r="G328" s="107">
        <v>0.0</v>
      </c>
      <c r="H328" s="107">
        <v>0.0</v>
      </c>
      <c r="I328" s="107">
        <v>0.0</v>
      </c>
      <c r="J328" s="107">
        <v>0.0</v>
      </c>
      <c r="K328" s="107">
        <v>0.0</v>
      </c>
      <c r="L328" s="107">
        <v>0.0</v>
      </c>
      <c r="M328" s="107">
        <v>0.0</v>
      </c>
      <c r="N328" s="107">
        <v>1.0</v>
      </c>
      <c r="O328" s="107">
        <v>0.333</v>
      </c>
      <c r="P328" s="107">
        <v>0.0</v>
      </c>
      <c r="Q328" s="107">
        <v>0.0</v>
      </c>
      <c r="AD328" s="119"/>
    </row>
    <row r="329">
      <c r="A329" s="106" t="s">
        <v>380</v>
      </c>
      <c r="B329" s="112">
        <v>3.0</v>
      </c>
      <c r="C329" s="112">
        <v>2.0</v>
      </c>
      <c r="D329" s="112">
        <v>3.0</v>
      </c>
      <c r="E329" s="112">
        <v>1.0</v>
      </c>
      <c r="F329" s="112">
        <v>1.0</v>
      </c>
      <c r="G329" s="112">
        <v>0.0</v>
      </c>
      <c r="H329" s="112">
        <v>1.0</v>
      </c>
      <c r="I329" s="112">
        <v>0.0</v>
      </c>
      <c r="J329" s="112">
        <v>0.0</v>
      </c>
      <c r="K329" s="112">
        <v>0.0</v>
      </c>
      <c r="L329" s="112">
        <v>0.0</v>
      </c>
      <c r="M329" s="112">
        <v>0.0</v>
      </c>
      <c r="N329" s="112">
        <v>0.0</v>
      </c>
      <c r="O329" s="112">
        <v>1.0</v>
      </c>
      <c r="P329" s="112">
        <v>1.667</v>
      </c>
      <c r="Q329" s="112">
        <v>1.0</v>
      </c>
      <c r="AD329" s="119"/>
    </row>
    <row r="330">
      <c r="A330" s="106" t="s">
        <v>381</v>
      </c>
      <c r="B330" s="107">
        <v>1.0</v>
      </c>
      <c r="C330" s="107">
        <v>1.0</v>
      </c>
      <c r="D330" s="107">
        <v>1.0</v>
      </c>
      <c r="E330" s="107">
        <v>3.0</v>
      </c>
      <c r="F330" s="107">
        <v>1.0</v>
      </c>
      <c r="G330" s="107">
        <v>0.0</v>
      </c>
      <c r="H330" s="107">
        <v>1.0</v>
      </c>
      <c r="I330" s="107">
        <v>0.0</v>
      </c>
      <c r="J330" s="107">
        <v>0.0</v>
      </c>
      <c r="K330" s="107">
        <v>0.0</v>
      </c>
      <c r="L330" s="107">
        <v>1.0</v>
      </c>
      <c r="M330" s="107">
        <v>0.0</v>
      </c>
      <c r="N330" s="107">
        <v>0.0</v>
      </c>
      <c r="O330" s="107">
        <v>0.5</v>
      </c>
      <c r="P330" s="107">
        <v>3.0</v>
      </c>
      <c r="Q330" s="107">
        <v>0.0</v>
      </c>
      <c r="AD330" s="119"/>
    </row>
    <row r="331">
      <c r="A331" s="120" t="s">
        <v>99</v>
      </c>
      <c r="B331" s="112">
        <v>24.0</v>
      </c>
      <c r="C331" s="112">
        <v>13.0</v>
      </c>
      <c r="D331" s="112">
        <v>13.0</v>
      </c>
      <c r="E331" s="112">
        <v>13.0</v>
      </c>
      <c r="F331" s="112">
        <v>0.542</v>
      </c>
      <c r="G331" s="112">
        <v>3.0</v>
      </c>
      <c r="H331" s="112">
        <v>2.0</v>
      </c>
      <c r="I331" s="112">
        <v>1.0</v>
      </c>
      <c r="J331" s="112">
        <v>3.0</v>
      </c>
      <c r="K331" s="112">
        <v>2.0</v>
      </c>
      <c r="L331" s="112">
        <v>1.0</v>
      </c>
      <c r="M331" s="112">
        <v>0.0</v>
      </c>
      <c r="N331" s="112">
        <v>2.0</v>
      </c>
      <c r="O331" s="112">
        <v>0.6</v>
      </c>
      <c r="P331" s="112">
        <v>0.958</v>
      </c>
      <c r="Q331" s="112">
        <v>5.0</v>
      </c>
      <c r="AD331" s="119"/>
    </row>
    <row r="332">
      <c r="A332" s="118"/>
      <c r="AD332" s="119"/>
    </row>
    <row r="333">
      <c r="A333" s="98" t="s">
        <v>84</v>
      </c>
      <c r="Q333" s="99"/>
      <c r="R333" s="101" t="s">
        <v>89</v>
      </c>
      <c r="S333" s="102" t="s">
        <v>61</v>
      </c>
      <c r="T333" s="102" t="s">
        <v>62</v>
      </c>
      <c r="U333" s="102" t="s">
        <v>63</v>
      </c>
      <c r="V333" s="102" t="s">
        <v>64</v>
      </c>
      <c r="W333" s="102" t="s">
        <v>12</v>
      </c>
      <c r="X333" s="102" t="s">
        <v>88</v>
      </c>
      <c r="Y333" s="102" t="s">
        <v>10</v>
      </c>
      <c r="Z333" s="102" t="s">
        <v>70</v>
      </c>
      <c r="AA333" s="103"/>
      <c r="AB333" s="124">
        <v>1.0</v>
      </c>
      <c r="AD333" s="119"/>
    </row>
    <row r="334">
      <c r="A334" s="101" t="s">
        <v>87</v>
      </c>
      <c r="B334" s="102" t="s">
        <v>3</v>
      </c>
      <c r="C334" s="102" t="s">
        <v>63</v>
      </c>
      <c r="D334" s="102" t="s">
        <v>62</v>
      </c>
      <c r="E334" s="102" t="s">
        <v>6</v>
      </c>
      <c r="F334" s="102" t="s">
        <v>18</v>
      </c>
      <c r="G334" s="102" t="s">
        <v>8</v>
      </c>
      <c r="H334" s="102" t="s">
        <v>9</v>
      </c>
      <c r="I334" s="102" t="s">
        <v>10</v>
      </c>
      <c r="J334" s="102" t="s">
        <v>12</v>
      </c>
      <c r="K334" s="102" t="s">
        <v>88</v>
      </c>
      <c r="L334" s="102" t="s">
        <v>15</v>
      </c>
      <c r="M334" s="102" t="s">
        <v>16</v>
      </c>
      <c r="N334" s="102" t="s">
        <v>14</v>
      </c>
      <c r="O334" s="102" t="s">
        <v>19</v>
      </c>
      <c r="P334" s="102" t="s">
        <v>20</v>
      </c>
      <c r="Q334" s="102" t="s">
        <v>11</v>
      </c>
      <c r="R334" s="106" t="s">
        <v>382</v>
      </c>
      <c r="S334" s="107">
        <v>1.0</v>
      </c>
      <c r="T334" s="107">
        <v>0.0</v>
      </c>
      <c r="U334" s="107">
        <v>0.0</v>
      </c>
      <c r="V334" s="107">
        <v>0.0</v>
      </c>
      <c r="W334" s="107">
        <v>0.0</v>
      </c>
      <c r="X334" s="107">
        <v>1.0</v>
      </c>
      <c r="Y334" s="107">
        <v>0.0</v>
      </c>
      <c r="Z334" s="107">
        <v>0.0</v>
      </c>
      <c r="AA334" s="109"/>
      <c r="AB334" s="125">
        <v>2.0</v>
      </c>
      <c r="AC334" s="100">
        <v>1.0</v>
      </c>
      <c r="AD334" s="100" t="s">
        <v>44</v>
      </c>
    </row>
    <row r="335">
      <c r="A335" s="106" t="s">
        <v>383</v>
      </c>
      <c r="B335" s="107">
        <v>2.0</v>
      </c>
      <c r="C335" s="107">
        <v>0.0</v>
      </c>
      <c r="D335" s="107">
        <v>0.0</v>
      </c>
      <c r="E335" s="107">
        <v>0.0</v>
      </c>
      <c r="F335" s="107">
        <v>0.0</v>
      </c>
      <c r="G335" s="107">
        <v>0.0</v>
      </c>
      <c r="H335" s="107">
        <v>0.0</v>
      </c>
      <c r="I335" s="107">
        <v>0.0</v>
      </c>
      <c r="J335" s="107">
        <v>1.0</v>
      </c>
      <c r="K335" s="107">
        <v>1.0</v>
      </c>
      <c r="L335" s="107">
        <v>0.0</v>
      </c>
      <c r="M335" s="107">
        <v>0.0</v>
      </c>
      <c r="N335" s="107">
        <v>0.0</v>
      </c>
      <c r="O335" s="107">
        <v>0.333</v>
      </c>
      <c r="P335" s="107">
        <v>0.0</v>
      </c>
      <c r="Q335" s="107">
        <v>0.0</v>
      </c>
      <c r="R335" s="106" t="s">
        <v>384</v>
      </c>
      <c r="S335" s="112">
        <v>6.0</v>
      </c>
      <c r="T335" s="112">
        <v>5.0</v>
      </c>
      <c r="U335" s="112">
        <v>2.0</v>
      </c>
      <c r="V335" s="112">
        <v>2.0</v>
      </c>
      <c r="W335" s="112">
        <v>2.0</v>
      </c>
      <c r="X335" s="112">
        <v>7.0</v>
      </c>
      <c r="Y335" s="112">
        <v>0.0</v>
      </c>
      <c r="Z335" s="112">
        <v>2.333</v>
      </c>
      <c r="AA335" s="114"/>
      <c r="AB335" s="126">
        <v>3.0</v>
      </c>
      <c r="AD335" s="119"/>
    </row>
    <row r="336">
      <c r="A336" s="106" t="s">
        <v>385</v>
      </c>
      <c r="B336" s="112">
        <v>2.0</v>
      </c>
      <c r="C336" s="112">
        <v>1.0</v>
      </c>
      <c r="D336" s="112">
        <v>1.0</v>
      </c>
      <c r="E336" s="112">
        <v>2.0</v>
      </c>
      <c r="F336" s="112">
        <v>0.5</v>
      </c>
      <c r="G336" s="112">
        <v>0.0</v>
      </c>
      <c r="H336" s="112">
        <v>0.0</v>
      </c>
      <c r="I336" s="112">
        <v>0.0</v>
      </c>
      <c r="J336" s="112">
        <v>1.0</v>
      </c>
      <c r="K336" s="112">
        <v>0.0</v>
      </c>
      <c r="L336" s="112">
        <v>0.0</v>
      </c>
      <c r="M336" s="112">
        <v>0.0</v>
      </c>
      <c r="N336" s="112">
        <v>0.0</v>
      </c>
      <c r="O336" s="112">
        <v>0.667</v>
      </c>
      <c r="P336" s="112">
        <v>0.5</v>
      </c>
      <c r="Q336" s="112">
        <v>0.0</v>
      </c>
      <c r="R336" s="117" t="s">
        <v>99</v>
      </c>
      <c r="S336" s="107">
        <v>7.0</v>
      </c>
      <c r="T336" s="107">
        <v>5.0</v>
      </c>
      <c r="U336" s="107">
        <v>2.0</v>
      </c>
      <c r="V336" s="107">
        <v>2.0</v>
      </c>
      <c r="W336" s="107">
        <v>2.0</v>
      </c>
      <c r="X336" s="107">
        <v>8.0</v>
      </c>
      <c r="Y336" s="107">
        <v>0.0</v>
      </c>
      <c r="Z336" s="107">
        <v>2.0</v>
      </c>
      <c r="AA336" s="109"/>
      <c r="AB336" s="125">
        <v>4.0</v>
      </c>
      <c r="AC336" s="100"/>
      <c r="AD336" s="100"/>
    </row>
    <row r="337">
      <c r="A337" s="106" t="s">
        <v>386</v>
      </c>
      <c r="B337" s="107">
        <v>3.0</v>
      </c>
      <c r="C337" s="107">
        <v>1.0</v>
      </c>
      <c r="D337" s="107">
        <v>1.0</v>
      </c>
      <c r="E337" s="107">
        <v>0.0</v>
      </c>
      <c r="F337" s="107">
        <v>0.333</v>
      </c>
      <c r="G337" s="107">
        <v>1.0</v>
      </c>
      <c r="H337" s="107">
        <v>0.0</v>
      </c>
      <c r="I337" s="107">
        <v>0.0</v>
      </c>
      <c r="J337" s="107">
        <v>0.0</v>
      </c>
      <c r="K337" s="107">
        <v>2.0</v>
      </c>
      <c r="L337" s="107">
        <v>0.0</v>
      </c>
      <c r="M337" s="107">
        <v>0.0</v>
      </c>
      <c r="N337" s="107">
        <v>0.0</v>
      </c>
      <c r="O337" s="107">
        <v>0.333</v>
      </c>
      <c r="P337" s="107">
        <v>0.667</v>
      </c>
      <c r="Q337" s="107">
        <v>0.0</v>
      </c>
      <c r="R337" s="118"/>
      <c r="AB337" s="126">
        <v>5.0</v>
      </c>
      <c r="AD337" s="119"/>
    </row>
    <row r="338">
      <c r="A338" s="106" t="s">
        <v>387</v>
      </c>
      <c r="B338" s="112">
        <v>2.0</v>
      </c>
      <c r="C338" s="112">
        <v>0.0</v>
      </c>
      <c r="D338" s="112">
        <v>0.0</v>
      </c>
      <c r="E338" s="112">
        <v>0.0</v>
      </c>
      <c r="F338" s="112">
        <v>0.0</v>
      </c>
      <c r="G338" s="112">
        <v>0.0</v>
      </c>
      <c r="H338" s="112">
        <v>0.0</v>
      </c>
      <c r="I338" s="112">
        <v>0.0</v>
      </c>
      <c r="J338" s="112">
        <v>0.0</v>
      </c>
      <c r="K338" s="112">
        <v>0.0</v>
      </c>
      <c r="L338" s="112">
        <v>0.0</v>
      </c>
      <c r="M338" s="112">
        <v>0.0</v>
      </c>
      <c r="N338" s="112">
        <v>0.0</v>
      </c>
      <c r="O338" s="112">
        <v>0.0</v>
      </c>
      <c r="P338" s="112">
        <v>0.0</v>
      </c>
      <c r="Q338" s="112">
        <v>0.0</v>
      </c>
      <c r="AB338" s="125">
        <v>6.0</v>
      </c>
      <c r="AC338" s="100">
        <v>1.0</v>
      </c>
      <c r="AD338" s="100" t="s">
        <v>45</v>
      </c>
    </row>
    <row r="339">
      <c r="A339" s="106" t="s">
        <v>388</v>
      </c>
      <c r="B339" s="107">
        <v>2.0</v>
      </c>
      <c r="C339" s="107">
        <v>1.0</v>
      </c>
      <c r="D339" s="107">
        <v>2.0</v>
      </c>
      <c r="E339" s="107">
        <v>1.0</v>
      </c>
      <c r="F339" s="107">
        <v>1.0</v>
      </c>
      <c r="G339" s="107">
        <v>0.0</v>
      </c>
      <c r="H339" s="107">
        <v>0.0</v>
      </c>
      <c r="I339" s="107">
        <v>1.0</v>
      </c>
      <c r="J339" s="107">
        <v>1.0</v>
      </c>
      <c r="K339" s="107">
        <v>0.0</v>
      </c>
      <c r="L339" s="107">
        <v>0.0</v>
      </c>
      <c r="M339" s="107">
        <v>0.0</v>
      </c>
      <c r="N339" s="107">
        <v>0.0</v>
      </c>
      <c r="O339" s="107">
        <v>1.0</v>
      </c>
      <c r="P339" s="107">
        <v>2.5</v>
      </c>
      <c r="Q339" s="107">
        <v>0.0</v>
      </c>
      <c r="AB339" s="127">
        <v>7.0</v>
      </c>
      <c r="AD339" s="119"/>
    </row>
    <row r="340">
      <c r="A340" s="106" t="s">
        <v>389</v>
      </c>
      <c r="B340" s="112">
        <v>4.0</v>
      </c>
      <c r="C340" s="112">
        <v>0.0</v>
      </c>
      <c r="D340" s="112">
        <v>0.0</v>
      </c>
      <c r="E340" s="112">
        <v>0.0</v>
      </c>
      <c r="F340" s="112">
        <v>0.0</v>
      </c>
      <c r="G340" s="112">
        <v>0.0</v>
      </c>
      <c r="H340" s="112">
        <v>0.0</v>
      </c>
      <c r="I340" s="112">
        <v>0.0</v>
      </c>
      <c r="J340" s="112">
        <v>0.0</v>
      </c>
      <c r="K340" s="112">
        <v>2.0</v>
      </c>
      <c r="L340" s="112">
        <v>0.0</v>
      </c>
      <c r="M340" s="112">
        <v>0.0</v>
      </c>
      <c r="N340" s="112">
        <v>0.0</v>
      </c>
      <c r="O340" s="112">
        <v>0.0</v>
      </c>
      <c r="P340" s="112">
        <v>0.0</v>
      </c>
      <c r="Q340" s="112">
        <v>0.0</v>
      </c>
      <c r="AD340" s="119"/>
    </row>
    <row r="341">
      <c r="A341" s="106" t="s">
        <v>390</v>
      </c>
      <c r="B341" s="107">
        <v>1.0</v>
      </c>
      <c r="C341" s="107">
        <v>1.0</v>
      </c>
      <c r="D341" s="107">
        <v>0.0</v>
      </c>
      <c r="E341" s="107">
        <v>0.0</v>
      </c>
      <c r="F341" s="107">
        <v>0.0</v>
      </c>
      <c r="G341" s="107">
        <v>0.0</v>
      </c>
      <c r="H341" s="107">
        <v>0.0</v>
      </c>
      <c r="I341" s="107">
        <v>0.0</v>
      </c>
      <c r="J341" s="107">
        <v>2.0</v>
      </c>
      <c r="K341" s="107">
        <v>1.0</v>
      </c>
      <c r="L341" s="107">
        <v>0.0</v>
      </c>
      <c r="M341" s="107">
        <v>0.0</v>
      </c>
      <c r="N341" s="107">
        <v>0.0</v>
      </c>
      <c r="O341" s="107">
        <v>0.667</v>
      </c>
      <c r="P341" s="107">
        <v>0.0</v>
      </c>
      <c r="Q341" s="107">
        <v>0.0</v>
      </c>
      <c r="AD341" s="119"/>
    </row>
    <row r="342">
      <c r="A342" s="106" t="s">
        <v>391</v>
      </c>
      <c r="B342" s="112">
        <v>2.0</v>
      </c>
      <c r="C342" s="112">
        <v>0.0</v>
      </c>
      <c r="D342" s="112">
        <v>0.0</v>
      </c>
      <c r="E342" s="112">
        <v>0.0</v>
      </c>
      <c r="F342" s="112">
        <v>0.0</v>
      </c>
      <c r="G342" s="112">
        <v>0.0</v>
      </c>
      <c r="H342" s="112">
        <v>0.0</v>
      </c>
      <c r="I342" s="112">
        <v>0.0</v>
      </c>
      <c r="J342" s="112">
        <v>0.0</v>
      </c>
      <c r="K342" s="112">
        <v>0.0</v>
      </c>
      <c r="L342" s="112">
        <v>0.0</v>
      </c>
      <c r="M342" s="112">
        <v>0.0</v>
      </c>
      <c r="N342" s="112">
        <v>0.0</v>
      </c>
      <c r="O342" s="112">
        <v>0.0</v>
      </c>
      <c r="P342" s="112">
        <v>0.0</v>
      </c>
      <c r="Q342" s="112">
        <v>0.0</v>
      </c>
      <c r="AD342" s="119"/>
    </row>
    <row r="343">
      <c r="A343" s="106" t="s">
        <v>392</v>
      </c>
      <c r="B343" s="107">
        <v>3.0</v>
      </c>
      <c r="C343" s="107">
        <v>0.0</v>
      </c>
      <c r="D343" s="107">
        <v>0.0</v>
      </c>
      <c r="E343" s="107">
        <v>0.0</v>
      </c>
      <c r="F343" s="107">
        <v>0.0</v>
      </c>
      <c r="G343" s="107">
        <v>0.0</v>
      </c>
      <c r="H343" s="107">
        <v>0.0</v>
      </c>
      <c r="I343" s="107">
        <v>0.0</v>
      </c>
      <c r="J343" s="107">
        <v>0.0</v>
      </c>
      <c r="K343" s="107">
        <v>1.0</v>
      </c>
      <c r="L343" s="107">
        <v>0.0</v>
      </c>
      <c r="M343" s="107">
        <v>0.0</v>
      </c>
      <c r="N343" s="107">
        <v>0.0</v>
      </c>
      <c r="O343" s="107">
        <v>0.0</v>
      </c>
      <c r="P343" s="107">
        <v>0.0</v>
      </c>
      <c r="Q343" s="107">
        <v>0.0</v>
      </c>
      <c r="AD343" s="119"/>
    </row>
    <row r="344">
      <c r="A344" s="106" t="s">
        <v>393</v>
      </c>
      <c r="B344" s="112">
        <v>1.0</v>
      </c>
      <c r="C344" s="112">
        <v>0.0</v>
      </c>
      <c r="D344" s="112">
        <v>1.0</v>
      </c>
      <c r="E344" s="112">
        <v>0.0</v>
      </c>
      <c r="F344" s="112">
        <v>1.0</v>
      </c>
      <c r="G344" s="112">
        <v>0.0</v>
      </c>
      <c r="H344" s="112">
        <v>0.0</v>
      </c>
      <c r="I344" s="112">
        <v>0.0</v>
      </c>
      <c r="J344" s="112">
        <v>0.0</v>
      </c>
      <c r="K344" s="112">
        <v>0.0</v>
      </c>
      <c r="L344" s="112">
        <v>0.0</v>
      </c>
      <c r="M344" s="112">
        <v>0.0</v>
      </c>
      <c r="N344" s="112">
        <v>0.0</v>
      </c>
      <c r="O344" s="112">
        <v>1.0</v>
      </c>
      <c r="P344" s="112">
        <v>1.0</v>
      </c>
      <c r="Q344" s="112">
        <v>0.0</v>
      </c>
      <c r="AD344" s="119"/>
    </row>
    <row r="345">
      <c r="A345" s="106" t="s">
        <v>394</v>
      </c>
      <c r="B345" s="107">
        <v>1.0</v>
      </c>
      <c r="C345" s="107">
        <v>0.0</v>
      </c>
      <c r="D345" s="107">
        <v>0.0</v>
      </c>
      <c r="E345" s="107">
        <v>0.0</v>
      </c>
      <c r="F345" s="107">
        <v>0.0</v>
      </c>
      <c r="G345" s="107">
        <v>0.0</v>
      </c>
      <c r="H345" s="107">
        <v>0.0</v>
      </c>
      <c r="I345" s="107">
        <v>0.0</v>
      </c>
      <c r="J345" s="107">
        <v>0.0</v>
      </c>
      <c r="K345" s="107">
        <v>0.0</v>
      </c>
      <c r="L345" s="107">
        <v>0.0</v>
      </c>
      <c r="M345" s="107">
        <v>0.0</v>
      </c>
      <c r="N345" s="107">
        <v>0.0</v>
      </c>
      <c r="O345" s="107">
        <v>0.0</v>
      </c>
      <c r="P345" s="107">
        <v>0.0</v>
      </c>
      <c r="Q345" s="107">
        <v>0.0</v>
      </c>
      <c r="AD345" s="119"/>
    </row>
    <row r="346">
      <c r="A346" s="120" t="s">
        <v>99</v>
      </c>
      <c r="B346" s="112">
        <v>23.0</v>
      </c>
      <c r="C346" s="112">
        <v>4.0</v>
      </c>
      <c r="D346" s="112">
        <v>5.0</v>
      </c>
      <c r="E346" s="112">
        <v>3.0</v>
      </c>
      <c r="F346" s="112">
        <v>0.217</v>
      </c>
      <c r="G346" s="112">
        <v>1.0</v>
      </c>
      <c r="H346" s="112">
        <v>0.0</v>
      </c>
      <c r="I346" s="112">
        <v>1.0</v>
      </c>
      <c r="J346" s="112">
        <v>5.0</v>
      </c>
      <c r="K346" s="112">
        <v>7.0</v>
      </c>
      <c r="L346" s="112">
        <v>0.0</v>
      </c>
      <c r="M346" s="112">
        <v>0.0</v>
      </c>
      <c r="N346" s="112">
        <v>0.0</v>
      </c>
      <c r="O346" s="112">
        <v>0.357</v>
      </c>
      <c r="P346" s="112">
        <v>0.391</v>
      </c>
      <c r="Q346" s="112">
        <v>0.0</v>
      </c>
      <c r="AD346" s="119"/>
    </row>
    <row r="347">
      <c r="A347" s="118"/>
      <c r="AD347" s="119"/>
    </row>
    <row r="348">
      <c r="A348" s="101" t="s">
        <v>87</v>
      </c>
      <c r="B348" s="102" t="s">
        <v>3</v>
      </c>
      <c r="C348" s="102" t="s">
        <v>63</v>
      </c>
      <c r="D348" s="102" t="s">
        <v>62</v>
      </c>
      <c r="E348" s="102" t="s">
        <v>6</v>
      </c>
      <c r="F348" s="102" t="s">
        <v>18</v>
      </c>
      <c r="G348" s="102" t="s">
        <v>8</v>
      </c>
      <c r="H348" s="102" t="s">
        <v>9</v>
      </c>
      <c r="I348" s="102" t="s">
        <v>10</v>
      </c>
      <c r="J348" s="102" t="s">
        <v>12</v>
      </c>
      <c r="K348" s="102" t="s">
        <v>88</v>
      </c>
      <c r="L348" s="102" t="s">
        <v>15</v>
      </c>
      <c r="M348" s="102" t="s">
        <v>16</v>
      </c>
      <c r="N348" s="102" t="s">
        <v>14</v>
      </c>
      <c r="O348" s="102" t="s">
        <v>19</v>
      </c>
      <c r="P348" s="102" t="s">
        <v>20</v>
      </c>
      <c r="Q348" s="102" t="s">
        <v>11</v>
      </c>
      <c r="R348" s="101" t="s">
        <v>89</v>
      </c>
      <c r="S348" s="102" t="s">
        <v>61</v>
      </c>
      <c r="T348" s="102" t="s">
        <v>62</v>
      </c>
      <c r="U348" s="102" t="s">
        <v>63</v>
      </c>
      <c r="V348" s="102" t="s">
        <v>64</v>
      </c>
      <c r="W348" s="102" t="s">
        <v>12</v>
      </c>
      <c r="X348" s="102" t="s">
        <v>88</v>
      </c>
      <c r="Y348" s="102" t="s">
        <v>10</v>
      </c>
      <c r="Z348" s="102" t="s">
        <v>70</v>
      </c>
      <c r="AA348" s="103"/>
      <c r="AB348" s="100">
        <v>1.0</v>
      </c>
      <c r="AC348" s="100">
        <v>2.0</v>
      </c>
      <c r="AD348" s="100" t="s">
        <v>49</v>
      </c>
    </row>
    <row r="349">
      <c r="A349" s="117" t="s">
        <v>38</v>
      </c>
      <c r="B349" s="107">
        <v>4.0</v>
      </c>
      <c r="C349" s="107">
        <v>1.0</v>
      </c>
      <c r="D349" s="107">
        <v>2.0</v>
      </c>
      <c r="E349" s="107">
        <v>3.0</v>
      </c>
      <c r="F349" s="107">
        <v>0.5</v>
      </c>
      <c r="G349" s="107">
        <v>0.0</v>
      </c>
      <c r="H349" s="107">
        <v>1.0</v>
      </c>
      <c r="I349" s="107">
        <v>0.0</v>
      </c>
      <c r="J349" s="107">
        <v>0.0</v>
      </c>
      <c r="K349" s="107">
        <v>1.0</v>
      </c>
      <c r="L349" s="107">
        <v>0.0</v>
      </c>
      <c r="M349" s="107">
        <v>0.0</v>
      </c>
      <c r="N349" s="107">
        <v>0.0</v>
      </c>
      <c r="O349" s="107">
        <v>0.5</v>
      </c>
      <c r="P349" s="107">
        <v>1.0</v>
      </c>
      <c r="Q349" s="107">
        <v>1.0</v>
      </c>
      <c r="R349" s="117" t="s">
        <v>76</v>
      </c>
      <c r="S349" s="107">
        <v>3.0</v>
      </c>
      <c r="T349" s="107">
        <v>1.0</v>
      </c>
      <c r="U349" s="107">
        <v>0.0</v>
      </c>
      <c r="V349" s="107">
        <v>0.0</v>
      </c>
      <c r="W349" s="107">
        <v>2.0</v>
      </c>
      <c r="X349" s="107">
        <v>1.0</v>
      </c>
      <c r="Y349" s="107">
        <v>0.0</v>
      </c>
      <c r="Z349" s="107">
        <v>0.0</v>
      </c>
      <c r="AA349" s="109"/>
      <c r="AB349" s="100">
        <v>2.0</v>
      </c>
      <c r="AC349" s="100">
        <v>1.0</v>
      </c>
      <c r="AD349" s="100" t="s">
        <v>46</v>
      </c>
    </row>
    <row r="350">
      <c r="A350" s="120" t="s">
        <v>40</v>
      </c>
      <c r="B350" s="112">
        <v>4.0</v>
      </c>
      <c r="C350" s="112">
        <v>1.0</v>
      </c>
      <c r="D350" s="112">
        <v>2.0</v>
      </c>
      <c r="E350" s="112">
        <v>0.0</v>
      </c>
      <c r="F350" s="112">
        <v>0.5</v>
      </c>
      <c r="G350" s="112">
        <v>0.0</v>
      </c>
      <c r="H350" s="112">
        <v>0.0</v>
      </c>
      <c r="I350" s="112">
        <v>0.0</v>
      </c>
      <c r="J350" s="112">
        <v>0.0</v>
      </c>
      <c r="K350" s="112">
        <v>1.0</v>
      </c>
      <c r="L350" s="112">
        <v>0.0</v>
      </c>
      <c r="M350" s="112">
        <v>0.0</v>
      </c>
      <c r="N350" s="112">
        <v>0.0</v>
      </c>
      <c r="O350" s="112">
        <v>0.5</v>
      </c>
      <c r="P350" s="112">
        <v>0.5</v>
      </c>
      <c r="Q350" s="112">
        <v>1.0</v>
      </c>
      <c r="R350" s="120" t="s">
        <v>79</v>
      </c>
      <c r="S350" s="112">
        <v>2.0</v>
      </c>
      <c r="T350" s="112">
        <v>1.0</v>
      </c>
      <c r="U350" s="112">
        <v>1.0</v>
      </c>
      <c r="V350" s="112">
        <v>0.0</v>
      </c>
      <c r="W350" s="112">
        <v>1.0</v>
      </c>
      <c r="X350" s="112">
        <v>2.0</v>
      </c>
      <c r="Y350" s="112">
        <v>0.0</v>
      </c>
      <c r="Z350" s="112">
        <v>0.0</v>
      </c>
      <c r="AA350" s="114"/>
      <c r="AB350" s="100">
        <v>3.0</v>
      </c>
      <c r="AC350" s="100">
        <v>2.0</v>
      </c>
      <c r="AD350" s="100" t="s">
        <v>38</v>
      </c>
    </row>
    <row r="351">
      <c r="A351" s="117" t="s">
        <v>42</v>
      </c>
      <c r="B351" s="107">
        <v>2.0</v>
      </c>
      <c r="C351" s="107">
        <v>1.0</v>
      </c>
      <c r="D351" s="107">
        <v>1.0</v>
      </c>
      <c r="E351" s="107">
        <v>2.0</v>
      </c>
      <c r="F351" s="107">
        <v>0.5</v>
      </c>
      <c r="G351" s="107">
        <v>1.0</v>
      </c>
      <c r="H351" s="107">
        <v>0.0</v>
      </c>
      <c r="I351" s="107">
        <v>0.0</v>
      </c>
      <c r="J351" s="107">
        <v>1.0</v>
      </c>
      <c r="K351" s="107">
        <v>0.0</v>
      </c>
      <c r="L351" s="107">
        <v>0.0</v>
      </c>
      <c r="M351" s="107">
        <v>0.0</v>
      </c>
      <c r="N351" s="107">
        <v>0.0</v>
      </c>
      <c r="O351" s="107">
        <v>0.667</v>
      </c>
      <c r="P351" s="107">
        <v>1.0</v>
      </c>
      <c r="Q351" s="107">
        <v>1.0</v>
      </c>
      <c r="R351" s="117" t="s">
        <v>99</v>
      </c>
      <c r="S351" s="107">
        <v>5.0</v>
      </c>
      <c r="T351" s="107">
        <v>2.0</v>
      </c>
      <c r="U351" s="107">
        <v>1.0</v>
      </c>
      <c r="V351" s="107">
        <v>0.0</v>
      </c>
      <c r="W351" s="107">
        <v>3.0</v>
      </c>
      <c r="X351" s="107">
        <v>3.0</v>
      </c>
      <c r="Y351" s="107">
        <v>0.0</v>
      </c>
      <c r="Z351" s="107">
        <v>0.0</v>
      </c>
      <c r="AA351" s="109"/>
      <c r="AB351" s="100">
        <v>4.0</v>
      </c>
      <c r="AC351" s="100">
        <v>1.0</v>
      </c>
      <c r="AD351" s="100" t="s">
        <v>46</v>
      </c>
    </row>
    <row r="352">
      <c r="A352" s="120" t="s">
        <v>46</v>
      </c>
      <c r="B352" s="112">
        <v>4.0</v>
      </c>
      <c r="C352" s="112">
        <v>2.0</v>
      </c>
      <c r="D352" s="112">
        <v>1.0</v>
      </c>
      <c r="E352" s="112">
        <v>0.0</v>
      </c>
      <c r="F352" s="112">
        <v>0.25</v>
      </c>
      <c r="G352" s="112">
        <v>0.0</v>
      </c>
      <c r="H352" s="112">
        <v>0.0</v>
      </c>
      <c r="I352" s="112">
        <v>0.0</v>
      </c>
      <c r="J352" s="112">
        <v>0.0</v>
      </c>
      <c r="K352" s="112">
        <v>0.0</v>
      </c>
      <c r="L352" s="112">
        <v>0.0</v>
      </c>
      <c r="M352" s="112">
        <v>0.0</v>
      </c>
      <c r="N352" s="112">
        <v>0.0</v>
      </c>
      <c r="O352" s="112">
        <v>0.25</v>
      </c>
      <c r="P352" s="112">
        <v>0.25</v>
      </c>
      <c r="Q352" s="112">
        <v>2.0</v>
      </c>
      <c r="R352" s="118"/>
      <c r="AD352" s="119"/>
    </row>
    <row r="353">
      <c r="A353" s="117" t="s">
        <v>49</v>
      </c>
      <c r="B353" s="107">
        <v>3.0</v>
      </c>
      <c r="C353" s="107">
        <v>2.0</v>
      </c>
      <c r="D353" s="107">
        <v>2.0</v>
      </c>
      <c r="E353" s="107">
        <v>1.0</v>
      </c>
      <c r="F353" s="107">
        <v>0.667</v>
      </c>
      <c r="G353" s="107">
        <v>0.0</v>
      </c>
      <c r="H353" s="107">
        <v>0.0</v>
      </c>
      <c r="I353" s="107">
        <v>0.0</v>
      </c>
      <c r="J353" s="107">
        <v>1.0</v>
      </c>
      <c r="K353" s="107">
        <v>0.0</v>
      </c>
      <c r="L353" s="107">
        <v>0.0</v>
      </c>
      <c r="M353" s="107">
        <v>0.0</v>
      </c>
      <c r="N353" s="107">
        <v>0.0</v>
      </c>
      <c r="O353" s="107">
        <v>0.75</v>
      </c>
      <c r="P353" s="107">
        <v>0.667</v>
      </c>
      <c r="Q353" s="107">
        <v>1.0</v>
      </c>
      <c r="AD353" s="119"/>
    </row>
    <row r="354">
      <c r="A354" s="120" t="s">
        <v>50</v>
      </c>
      <c r="B354" s="112">
        <v>4.0</v>
      </c>
      <c r="C354" s="112">
        <v>1.0</v>
      </c>
      <c r="D354" s="112">
        <v>2.0</v>
      </c>
      <c r="E354" s="112">
        <v>2.0</v>
      </c>
      <c r="F354" s="112">
        <v>0.5</v>
      </c>
      <c r="G354" s="112">
        <v>0.0</v>
      </c>
      <c r="H354" s="112">
        <v>1.0</v>
      </c>
      <c r="I354" s="112">
        <v>0.0</v>
      </c>
      <c r="J354" s="112">
        <v>0.0</v>
      </c>
      <c r="K354" s="112">
        <v>0.0</v>
      </c>
      <c r="L354" s="112">
        <v>0.0</v>
      </c>
      <c r="M354" s="112">
        <v>0.0</v>
      </c>
      <c r="N354" s="112">
        <v>0.0</v>
      </c>
      <c r="O354" s="112">
        <v>0.5</v>
      </c>
      <c r="P354" s="112">
        <v>1.0</v>
      </c>
      <c r="Q354" s="112">
        <v>0.0</v>
      </c>
      <c r="AD354" s="119"/>
    </row>
    <row r="355">
      <c r="A355" s="117" t="s">
        <v>44</v>
      </c>
      <c r="B355" s="107">
        <v>3.0</v>
      </c>
      <c r="C355" s="107">
        <v>2.0</v>
      </c>
      <c r="D355" s="107">
        <v>2.0</v>
      </c>
      <c r="E355" s="107">
        <v>2.0</v>
      </c>
      <c r="F355" s="107">
        <v>0.667</v>
      </c>
      <c r="G355" s="107">
        <v>0.0</v>
      </c>
      <c r="H355" s="107">
        <v>0.0</v>
      </c>
      <c r="I355" s="107">
        <v>0.0</v>
      </c>
      <c r="J355" s="107">
        <v>0.0</v>
      </c>
      <c r="K355" s="107">
        <v>0.0</v>
      </c>
      <c r="L355" s="107">
        <v>0.0</v>
      </c>
      <c r="M355" s="107">
        <v>0.0</v>
      </c>
      <c r="N355" s="107">
        <v>0.0</v>
      </c>
      <c r="O355" s="107">
        <v>0.667</v>
      </c>
      <c r="P355" s="107">
        <v>0.667</v>
      </c>
      <c r="Q355" s="107">
        <v>2.0</v>
      </c>
      <c r="AD355" s="119"/>
    </row>
    <row r="356">
      <c r="A356" s="120" t="s">
        <v>41</v>
      </c>
      <c r="B356" s="112">
        <v>2.0</v>
      </c>
      <c r="C356" s="112">
        <v>3.0</v>
      </c>
      <c r="D356" s="112">
        <v>2.0</v>
      </c>
      <c r="E356" s="112">
        <v>1.0</v>
      </c>
      <c r="F356" s="112">
        <v>1.0</v>
      </c>
      <c r="G356" s="112">
        <v>0.0</v>
      </c>
      <c r="H356" s="112">
        <v>0.0</v>
      </c>
      <c r="I356" s="112">
        <v>0.0</v>
      </c>
      <c r="J356" s="112">
        <v>1.0</v>
      </c>
      <c r="K356" s="112">
        <v>0.0</v>
      </c>
      <c r="L356" s="112">
        <v>0.0</v>
      </c>
      <c r="M356" s="112">
        <v>0.0</v>
      </c>
      <c r="N356" s="112">
        <v>0.0</v>
      </c>
      <c r="O356" s="112">
        <v>1.0</v>
      </c>
      <c r="P356" s="112">
        <v>1.0</v>
      </c>
      <c r="Q356" s="112">
        <v>1.0</v>
      </c>
      <c r="AD356" s="119"/>
    </row>
    <row r="357">
      <c r="A357" s="117" t="s">
        <v>53</v>
      </c>
      <c r="B357" s="107">
        <v>1.0</v>
      </c>
      <c r="C357" s="107">
        <v>1.0</v>
      </c>
      <c r="D357" s="107">
        <v>0.0</v>
      </c>
      <c r="E357" s="107">
        <v>1.0</v>
      </c>
      <c r="F357" s="107">
        <v>0.0</v>
      </c>
      <c r="G357" s="107">
        <v>0.0</v>
      </c>
      <c r="H357" s="107">
        <v>0.0</v>
      </c>
      <c r="I357" s="107">
        <v>0.0</v>
      </c>
      <c r="J357" s="107">
        <v>1.0</v>
      </c>
      <c r="K357" s="107">
        <v>0.0</v>
      </c>
      <c r="L357" s="107">
        <v>1.0</v>
      </c>
      <c r="M357" s="107">
        <v>0.0</v>
      </c>
      <c r="N357" s="107">
        <v>0.0</v>
      </c>
      <c r="O357" s="107">
        <v>0.333</v>
      </c>
      <c r="P357" s="107">
        <v>0.0</v>
      </c>
      <c r="Q357" s="107">
        <v>1.0</v>
      </c>
      <c r="AD357" s="119"/>
    </row>
    <row r="358">
      <c r="A358" s="120" t="s">
        <v>99</v>
      </c>
      <c r="B358" s="112">
        <v>27.0</v>
      </c>
      <c r="C358" s="112">
        <v>14.0</v>
      </c>
      <c r="D358" s="112">
        <v>14.0</v>
      </c>
      <c r="E358" s="112">
        <v>12.0</v>
      </c>
      <c r="F358" s="112">
        <v>0.519</v>
      </c>
      <c r="G358" s="112">
        <v>1.0</v>
      </c>
      <c r="H358" s="112">
        <v>2.0</v>
      </c>
      <c r="I358" s="112">
        <v>0.0</v>
      </c>
      <c r="J358" s="112">
        <v>4.0</v>
      </c>
      <c r="K358" s="112">
        <v>2.0</v>
      </c>
      <c r="L358" s="112">
        <v>1.0</v>
      </c>
      <c r="M358" s="112">
        <v>0.0</v>
      </c>
      <c r="N358" s="112">
        <v>0.0</v>
      </c>
      <c r="O358" s="112">
        <v>0.563</v>
      </c>
      <c r="P358" s="112">
        <v>0.704</v>
      </c>
      <c r="Q358" s="112">
        <v>10.0</v>
      </c>
      <c r="AD358" s="119"/>
    </row>
    <row r="359">
      <c r="A359" s="118"/>
      <c r="AD359" s="119"/>
    </row>
    <row r="360">
      <c r="A360" s="98" t="s">
        <v>84</v>
      </c>
      <c r="Q360" s="99"/>
      <c r="AD360" s="119"/>
    </row>
    <row r="361">
      <c r="A361" s="101" t="s">
        <v>87</v>
      </c>
      <c r="B361" s="102" t="s">
        <v>3</v>
      </c>
      <c r="C361" s="102" t="s">
        <v>63</v>
      </c>
      <c r="D361" s="102" t="s">
        <v>62</v>
      </c>
      <c r="E361" s="102" t="s">
        <v>6</v>
      </c>
      <c r="F361" s="102" t="s">
        <v>18</v>
      </c>
      <c r="G361" s="102" t="s">
        <v>8</v>
      </c>
      <c r="H361" s="102" t="s">
        <v>9</v>
      </c>
      <c r="I361" s="102" t="s">
        <v>10</v>
      </c>
      <c r="J361" s="102" t="s">
        <v>12</v>
      </c>
      <c r="K361" s="102" t="s">
        <v>88</v>
      </c>
      <c r="L361" s="102" t="s">
        <v>15</v>
      </c>
      <c r="M361" s="102" t="s">
        <v>16</v>
      </c>
      <c r="N361" s="102" t="s">
        <v>14</v>
      </c>
      <c r="O361" s="102" t="s">
        <v>19</v>
      </c>
      <c r="P361" s="102" t="s">
        <v>20</v>
      </c>
      <c r="Q361" s="102" t="s">
        <v>11</v>
      </c>
      <c r="R361" s="101" t="s">
        <v>89</v>
      </c>
      <c r="S361" s="102" t="s">
        <v>61</v>
      </c>
      <c r="T361" s="102" t="s">
        <v>62</v>
      </c>
      <c r="U361" s="102" t="s">
        <v>63</v>
      </c>
      <c r="V361" s="102" t="s">
        <v>64</v>
      </c>
      <c r="W361" s="102" t="s">
        <v>12</v>
      </c>
      <c r="X361" s="102" t="s">
        <v>88</v>
      </c>
      <c r="Y361" s="102" t="s">
        <v>10</v>
      </c>
      <c r="Z361" s="102" t="s">
        <v>70</v>
      </c>
      <c r="AA361" s="103"/>
      <c r="AB361" s="100">
        <v>1.0</v>
      </c>
      <c r="AD361" s="119"/>
    </row>
    <row r="362">
      <c r="A362" s="106" t="s">
        <v>395</v>
      </c>
      <c r="B362" s="107">
        <v>0.0</v>
      </c>
      <c r="C362" s="107">
        <v>1.0</v>
      </c>
      <c r="D362" s="107">
        <v>0.0</v>
      </c>
      <c r="E362" s="107">
        <v>1.0</v>
      </c>
      <c r="F362" s="107">
        <v>0.0</v>
      </c>
      <c r="G362" s="107">
        <v>0.0</v>
      </c>
      <c r="H362" s="107">
        <v>0.0</v>
      </c>
      <c r="I362" s="107">
        <v>0.0</v>
      </c>
      <c r="J362" s="107">
        <v>1.0</v>
      </c>
      <c r="K362" s="107">
        <v>0.0</v>
      </c>
      <c r="L362" s="107">
        <v>0.0</v>
      </c>
      <c r="M362" s="107">
        <v>0.0</v>
      </c>
      <c r="N362" s="107">
        <v>0.0</v>
      </c>
      <c r="O362" s="107">
        <v>1.0</v>
      </c>
      <c r="P362" s="107">
        <v>0.0</v>
      </c>
      <c r="Q362" s="107">
        <v>0.0</v>
      </c>
      <c r="R362" s="106" t="s">
        <v>396</v>
      </c>
      <c r="S362" s="107">
        <v>4.0</v>
      </c>
      <c r="T362" s="107">
        <v>3.0</v>
      </c>
      <c r="U362" s="107">
        <v>3.0</v>
      </c>
      <c r="V362" s="107">
        <v>3.0</v>
      </c>
      <c r="W362" s="107">
        <v>1.0</v>
      </c>
      <c r="X362" s="107">
        <v>3.0</v>
      </c>
      <c r="Y362" s="107">
        <v>0.0</v>
      </c>
      <c r="Z362" s="107">
        <v>5.25</v>
      </c>
      <c r="AA362" s="109"/>
      <c r="AB362" s="100">
        <v>2.0</v>
      </c>
      <c r="AC362" s="100">
        <v>1.0</v>
      </c>
      <c r="AD362" s="100" t="s">
        <v>39</v>
      </c>
    </row>
    <row r="363">
      <c r="A363" s="106" t="s">
        <v>397</v>
      </c>
      <c r="B363" s="112">
        <v>1.0</v>
      </c>
      <c r="C363" s="112">
        <v>1.0</v>
      </c>
      <c r="D363" s="112">
        <v>0.0</v>
      </c>
      <c r="E363" s="112">
        <v>0.0</v>
      </c>
      <c r="F363" s="112">
        <v>0.0</v>
      </c>
      <c r="G363" s="112">
        <v>0.0</v>
      </c>
      <c r="H363" s="112">
        <v>0.0</v>
      </c>
      <c r="I363" s="112">
        <v>0.0</v>
      </c>
      <c r="J363" s="112">
        <v>1.0</v>
      </c>
      <c r="K363" s="112">
        <v>0.0</v>
      </c>
      <c r="L363" s="112">
        <v>0.0</v>
      </c>
      <c r="M363" s="112">
        <v>0.0</v>
      </c>
      <c r="N363" s="112">
        <v>0.0</v>
      </c>
      <c r="O363" s="112">
        <v>0.5</v>
      </c>
      <c r="P363" s="112">
        <v>0.0</v>
      </c>
      <c r="Q363" s="112">
        <v>0.0</v>
      </c>
      <c r="R363" s="106" t="s">
        <v>398</v>
      </c>
      <c r="S363" s="112">
        <v>1.0</v>
      </c>
      <c r="T363" s="112">
        <v>2.0</v>
      </c>
      <c r="U363" s="112">
        <v>1.0</v>
      </c>
      <c r="V363" s="112">
        <v>1.0</v>
      </c>
      <c r="W363" s="112">
        <v>0.0</v>
      </c>
      <c r="X363" s="112">
        <v>0.0</v>
      </c>
      <c r="Y363" s="112">
        <v>0.0</v>
      </c>
      <c r="Z363" s="112">
        <v>7.0</v>
      </c>
      <c r="AA363" s="114"/>
      <c r="AB363" s="100">
        <v>3.0</v>
      </c>
      <c r="AC363" s="100">
        <v>2.0</v>
      </c>
      <c r="AD363" s="100" t="s">
        <v>44</v>
      </c>
    </row>
    <row r="364">
      <c r="A364" s="106" t="s">
        <v>399</v>
      </c>
      <c r="B364" s="107">
        <v>2.0</v>
      </c>
      <c r="C364" s="107">
        <v>2.0</v>
      </c>
      <c r="D364" s="107">
        <v>1.0</v>
      </c>
      <c r="E364" s="107">
        <v>3.0</v>
      </c>
      <c r="F364" s="107">
        <v>0.5</v>
      </c>
      <c r="G364" s="107">
        <v>0.0</v>
      </c>
      <c r="H364" s="107">
        <v>1.0</v>
      </c>
      <c r="I364" s="107">
        <v>0.0</v>
      </c>
      <c r="J364" s="107">
        <v>1.0</v>
      </c>
      <c r="K364" s="107">
        <v>0.0</v>
      </c>
      <c r="L364" s="107">
        <v>0.0</v>
      </c>
      <c r="M364" s="107">
        <v>0.0</v>
      </c>
      <c r="N364" s="107">
        <v>0.0</v>
      </c>
      <c r="O364" s="107">
        <v>0.667</v>
      </c>
      <c r="P364" s="107">
        <v>1.5</v>
      </c>
      <c r="Q364" s="107">
        <v>1.0</v>
      </c>
      <c r="R364" s="117" t="s">
        <v>99</v>
      </c>
      <c r="S364" s="107">
        <v>5.0</v>
      </c>
      <c r="T364" s="107">
        <v>5.0</v>
      </c>
      <c r="U364" s="107">
        <v>4.0</v>
      </c>
      <c r="V364" s="107">
        <v>4.0</v>
      </c>
      <c r="W364" s="107">
        <v>1.0</v>
      </c>
      <c r="X364" s="107">
        <v>3.0</v>
      </c>
      <c r="Y364" s="107">
        <v>0.0</v>
      </c>
      <c r="Z364" s="107">
        <v>5.6</v>
      </c>
      <c r="AA364" s="109"/>
      <c r="AB364" s="100">
        <v>4.0</v>
      </c>
      <c r="AC364" s="100">
        <v>3.0</v>
      </c>
      <c r="AD364" s="100" t="s">
        <v>35</v>
      </c>
    </row>
    <row r="365">
      <c r="A365" s="106" t="s">
        <v>400</v>
      </c>
      <c r="B365" s="112">
        <v>1.0</v>
      </c>
      <c r="C365" s="112">
        <v>1.0</v>
      </c>
      <c r="D365" s="112">
        <v>1.0</v>
      </c>
      <c r="E365" s="112">
        <v>1.0</v>
      </c>
      <c r="F365" s="112">
        <v>1.0</v>
      </c>
      <c r="G365" s="112">
        <v>0.0</v>
      </c>
      <c r="H365" s="112">
        <v>0.0</v>
      </c>
      <c r="I365" s="112">
        <v>0.0</v>
      </c>
      <c r="J365" s="112">
        <v>0.0</v>
      </c>
      <c r="K365" s="112">
        <v>0.0</v>
      </c>
      <c r="L365" s="112">
        <v>0.0</v>
      </c>
      <c r="M365" s="112">
        <v>0.0</v>
      </c>
      <c r="N365" s="112">
        <v>0.0</v>
      </c>
      <c r="O365" s="112">
        <v>1.0</v>
      </c>
      <c r="P365" s="112">
        <v>1.0</v>
      </c>
      <c r="Q365" s="112">
        <v>0.0</v>
      </c>
      <c r="R365" s="118"/>
      <c r="AD365" s="119"/>
    </row>
    <row r="366">
      <c r="A366" s="106" t="s">
        <v>401</v>
      </c>
      <c r="B366" s="107">
        <v>2.0</v>
      </c>
      <c r="C366" s="107">
        <v>2.0</v>
      </c>
      <c r="D366" s="107">
        <v>1.0</v>
      </c>
      <c r="E366" s="107">
        <v>1.0</v>
      </c>
      <c r="F366" s="107">
        <v>0.5</v>
      </c>
      <c r="G366" s="107">
        <v>0.0</v>
      </c>
      <c r="H366" s="107">
        <v>0.0</v>
      </c>
      <c r="I366" s="107">
        <v>0.0</v>
      </c>
      <c r="J366" s="107">
        <v>1.0</v>
      </c>
      <c r="K366" s="107">
        <v>1.0</v>
      </c>
      <c r="L366" s="107">
        <v>0.0</v>
      </c>
      <c r="M366" s="107">
        <v>0.0</v>
      </c>
      <c r="N366" s="107">
        <v>0.0</v>
      </c>
      <c r="O366" s="107">
        <v>0.667</v>
      </c>
      <c r="P366" s="107">
        <v>0.5</v>
      </c>
      <c r="Q366" s="107">
        <v>1.0</v>
      </c>
      <c r="AD366" s="119"/>
    </row>
    <row r="367">
      <c r="A367" s="106" t="s">
        <v>402</v>
      </c>
      <c r="B367" s="112">
        <v>0.0</v>
      </c>
      <c r="C367" s="112">
        <v>0.0</v>
      </c>
      <c r="D367" s="112">
        <v>0.0</v>
      </c>
      <c r="E367" s="112">
        <v>1.0</v>
      </c>
      <c r="F367" s="112">
        <v>0.0</v>
      </c>
      <c r="G367" s="112">
        <v>0.0</v>
      </c>
      <c r="H367" s="112">
        <v>0.0</v>
      </c>
      <c r="I367" s="112">
        <v>0.0</v>
      </c>
      <c r="J367" s="112">
        <v>1.0</v>
      </c>
      <c r="K367" s="112">
        <v>0.0</v>
      </c>
      <c r="L367" s="112">
        <v>0.0</v>
      </c>
      <c r="M367" s="112">
        <v>0.0</v>
      </c>
      <c r="N367" s="112">
        <v>0.0</v>
      </c>
      <c r="O367" s="112">
        <v>1.0</v>
      </c>
      <c r="P367" s="112">
        <v>0.0</v>
      </c>
      <c r="Q367" s="112">
        <v>0.0</v>
      </c>
      <c r="AD367" s="119"/>
    </row>
    <row r="368">
      <c r="A368" s="106" t="s">
        <v>403</v>
      </c>
      <c r="B368" s="107">
        <v>0.0</v>
      </c>
      <c r="C368" s="107">
        <v>2.0</v>
      </c>
      <c r="D368" s="107">
        <v>0.0</v>
      </c>
      <c r="E368" s="107">
        <v>1.0</v>
      </c>
      <c r="F368" s="107">
        <v>0.0</v>
      </c>
      <c r="G368" s="107">
        <v>0.0</v>
      </c>
      <c r="H368" s="107">
        <v>0.0</v>
      </c>
      <c r="I368" s="107">
        <v>0.0</v>
      </c>
      <c r="J368" s="107">
        <v>2.0</v>
      </c>
      <c r="K368" s="107">
        <v>0.0</v>
      </c>
      <c r="L368" s="107">
        <v>0.0</v>
      </c>
      <c r="M368" s="107">
        <v>0.0</v>
      </c>
      <c r="N368" s="107">
        <v>0.0</v>
      </c>
      <c r="O368" s="107">
        <v>1.0</v>
      </c>
      <c r="P368" s="107">
        <v>0.0</v>
      </c>
      <c r="Q368" s="107">
        <v>0.0</v>
      </c>
      <c r="AD368" s="119"/>
    </row>
    <row r="369">
      <c r="A369" s="106" t="s">
        <v>404</v>
      </c>
      <c r="B369" s="112">
        <v>1.0</v>
      </c>
      <c r="C369" s="112">
        <v>1.0</v>
      </c>
      <c r="D369" s="112">
        <v>0.0</v>
      </c>
      <c r="E369" s="112">
        <v>0.0</v>
      </c>
      <c r="F369" s="112">
        <v>0.0</v>
      </c>
      <c r="G369" s="112">
        <v>0.0</v>
      </c>
      <c r="H369" s="112">
        <v>0.0</v>
      </c>
      <c r="I369" s="112">
        <v>0.0</v>
      </c>
      <c r="J369" s="112">
        <v>1.0</v>
      </c>
      <c r="K369" s="112">
        <v>1.0</v>
      </c>
      <c r="L369" s="112">
        <v>0.0</v>
      </c>
      <c r="M369" s="112">
        <v>0.0</v>
      </c>
      <c r="N369" s="112">
        <v>0.0</v>
      </c>
      <c r="O369" s="112">
        <v>0.5</v>
      </c>
      <c r="P369" s="112">
        <v>0.0</v>
      </c>
      <c r="Q369" s="112">
        <v>0.0</v>
      </c>
      <c r="AD369" s="119"/>
    </row>
    <row r="370">
      <c r="A370" s="106" t="s">
        <v>405</v>
      </c>
      <c r="B370" s="107">
        <v>1.0</v>
      </c>
      <c r="C370" s="107">
        <v>1.0</v>
      </c>
      <c r="D370" s="107">
        <v>1.0</v>
      </c>
      <c r="E370" s="107">
        <v>1.0</v>
      </c>
      <c r="F370" s="107">
        <v>1.0</v>
      </c>
      <c r="G370" s="107">
        <v>0.0</v>
      </c>
      <c r="H370" s="107">
        <v>0.0</v>
      </c>
      <c r="I370" s="107">
        <v>0.0</v>
      </c>
      <c r="J370" s="107">
        <v>2.0</v>
      </c>
      <c r="K370" s="107">
        <v>0.0</v>
      </c>
      <c r="L370" s="107">
        <v>0.0</v>
      </c>
      <c r="M370" s="107">
        <v>0.0</v>
      </c>
      <c r="N370" s="107">
        <v>0.0</v>
      </c>
      <c r="O370" s="107">
        <v>1.0</v>
      </c>
      <c r="P370" s="107">
        <v>1.0</v>
      </c>
      <c r="Q370" s="107">
        <v>2.0</v>
      </c>
      <c r="AD370" s="119"/>
    </row>
    <row r="371">
      <c r="A371" s="106" t="s">
        <v>406</v>
      </c>
      <c r="B371" s="112">
        <v>1.0</v>
      </c>
      <c r="C371" s="112">
        <v>0.0</v>
      </c>
      <c r="D371" s="112">
        <v>0.0</v>
      </c>
      <c r="E371" s="112">
        <v>0.0</v>
      </c>
      <c r="F371" s="112">
        <v>0.0</v>
      </c>
      <c r="G371" s="112">
        <v>0.0</v>
      </c>
      <c r="H371" s="112">
        <v>0.0</v>
      </c>
      <c r="I371" s="112">
        <v>0.0</v>
      </c>
      <c r="J371" s="112">
        <v>0.0</v>
      </c>
      <c r="K371" s="112">
        <v>0.0</v>
      </c>
      <c r="L371" s="112">
        <v>0.0</v>
      </c>
      <c r="M371" s="112">
        <v>0.0</v>
      </c>
      <c r="N371" s="112">
        <v>0.0</v>
      </c>
      <c r="O371" s="112">
        <v>0.0</v>
      </c>
      <c r="P371" s="112">
        <v>0.0</v>
      </c>
      <c r="Q371" s="112">
        <v>0.0</v>
      </c>
      <c r="AD371" s="119"/>
    </row>
    <row r="372">
      <c r="A372" s="106" t="s">
        <v>407</v>
      </c>
      <c r="B372" s="107">
        <v>3.0</v>
      </c>
      <c r="C372" s="107">
        <v>2.0</v>
      </c>
      <c r="D372" s="107">
        <v>2.0</v>
      </c>
      <c r="E372" s="107">
        <v>4.0</v>
      </c>
      <c r="F372" s="107">
        <v>0.667</v>
      </c>
      <c r="G372" s="107">
        <v>1.0</v>
      </c>
      <c r="H372" s="107">
        <v>0.0</v>
      </c>
      <c r="I372" s="107">
        <v>0.0</v>
      </c>
      <c r="J372" s="107">
        <v>0.0</v>
      </c>
      <c r="K372" s="107">
        <v>1.0</v>
      </c>
      <c r="L372" s="107">
        <v>0.0</v>
      </c>
      <c r="M372" s="107">
        <v>0.0</v>
      </c>
      <c r="N372" s="107">
        <v>0.0</v>
      </c>
      <c r="O372" s="107">
        <v>0.667</v>
      </c>
      <c r="P372" s="107">
        <v>1.0</v>
      </c>
      <c r="Q372" s="107">
        <v>0.0</v>
      </c>
      <c r="AD372" s="119"/>
    </row>
    <row r="373">
      <c r="A373" s="106" t="s">
        <v>408</v>
      </c>
      <c r="B373" s="112">
        <v>2.0</v>
      </c>
      <c r="C373" s="112">
        <v>1.0</v>
      </c>
      <c r="D373" s="112">
        <v>1.0</v>
      </c>
      <c r="E373" s="112">
        <v>1.0</v>
      </c>
      <c r="F373" s="112">
        <v>0.5</v>
      </c>
      <c r="G373" s="112">
        <v>0.0</v>
      </c>
      <c r="H373" s="112">
        <v>0.0</v>
      </c>
      <c r="I373" s="112">
        <v>0.0</v>
      </c>
      <c r="J373" s="112">
        <v>1.0</v>
      </c>
      <c r="K373" s="112">
        <v>0.0</v>
      </c>
      <c r="L373" s="112">
        <v>0.0</v>
      </c>
      <c r="M373" s="112">
        <v>0.0</v>
      </c>
      <c r="N373" s="112">
        <v>0.0</v>
      </c>
      <c r="O373" s="112">
        <v>0.667</v>
      </c>
      <c r="P373" s="112">
        <v>0.5</v>
      </c>
      <c r="Q373" s="112">
        <v>1.0</v>
      </c>
      <c r="AD373" s="119"/>
    </row>
    <row r="374">
      <c r="A374" s="106" t="s">
        <v>409</v>
      </c>
      <c r="B374" s="107">
        <v>2.0</v>
      </c>
      <c r="C374" s="107">
        <v>2.0</v>
      </c>
      <c r="D374" s="107">
        <v>1.0</v>
      </c>
      <c r="E374" s="107">
        <v>0.0</v>
      </c>
      <c r="F374" s="107">
        <v>0.5</v>
      </c>
      <c r="G374" s="107">
        <v>0.0</v>
      </c>
      <c r="H374" s="107">
        <v>0.0</v>
      </c>
      <c r="I374" s="107">
        <v>0.0</v>
      </c>
      <c r="J374" s="107">
        <v>1.0</v>
      </c>
      <c r="K374" s="107">
        <v>0.0</v>
      </c>
      <c r="L374" s="107">
        <v>0.0</v>
      </c>
      <c r="M374" s="107">
        <v>0.0</v>
      </c>
      <c r="N374" s="107">
        <v>0.0</v>
      </c>
      <c r="O374" s="107">
        <v>0.667</v>
      </c>
      <c r="P374" s="107">
        <v>0.5</v>
      </c>
      <c r="Q374" s="107">
        <v>1.0</v>
      </c>
      <c r="AD374" s="119"/>
    </row>
    <row r="375">
      <c r="A375" s="106" t="s">
        <v>410</v>
      </c>
      <c r="B375" s="112">
        <v>0.0</v>
      </c>
      <c r="C375" s="112">
        <v>0.0</v>
      </c>
      <c r="D375" s="112">
        <v>0.0</v>
      </c>
      <c r="E375" s="112">
        <v>1.0</v>
      </c>
      <c r="F375" s="112">
        <v>0.0</v>
      </c>
      <c r="G375" s="112">
        <v>0.0</v>
      </c>
      <c r="H375" s="112">
        <v>0.0</v>
      </c>
      <c r="I375" s="112">
        <v>0.0</v>
      </c>
      <c r="J375" s="112">
        <v>1.0</v>
      </c>
      <c r="K375" s="112">
        <v>0.0</v>
      </c>
      <c r="L375" s="112">
        <v>0.0</v>
      </c>
      <c r="M375" s="112">
        <v>0.0</v>
      </c>
      <c r="N375" s="112">
        <v>0.0</v>
      </c>
      <c r="O375" s="112">
        <v>1.0</v>
      </c>
      <c r="P375" s="112">
        <v>0.0</v>
      </c>
      <c r="Q375" s="112">
        <v>0.0</v>
      </c>
      <c r="AD375" s="119"/>
    </row>
    <row r="376">
      <c r="A376" s="106" t="s">
        <v>411</v>
      </c>
      <c r="B376" s="107">
        <v>0.0</v>
      </c>
      <c r="C376" s="107">
        <v>1.0</v>
      </c>
      <c r="D376" s="107">
        <v>0.0</v>
      </c>
      <c r="E376" s="107">
        <v>0.0</v>
      </c>
      <c r="F376" s="107">
        <v>0.0</v>
      </c>
      <c r="G376" s="107">
        <v>0.0</v>
      </c>
      <c r="H376" s="107">
        <v>0.0</v>
      </c>
      <c r="I376" s="107">
        <v>0.0</v>
      </c>
      <c r="J376" s="107">
        <v>1.0</v>
      </c>
      <c r="K376" s="107">
        <v>0.0</v>
      </c>
      <c r="L376" s="107">
        <v>0.0</v>
      </c>
      <c r="M376" s="107">
        <v>0.0</v>
      </c>
      <c r="N376" s="107">
        <v>0.0</v>
      </c>
      <c r="O376" s="107">
        <v>1.0</v>
      </c>
      <c r="P376" s="107">
        <v>0.0</v>
      </c>
      <c r="Q376" s="107">
        <v>0.0</v>
      </c>
      <c r="AD376" s="119"/>
    </row>
    <row r="377">
      <c r="A377" s="106" t="s">
        <v>412</v>
      </c>
      <c r="B377" s="112">
        <v>3.0</v>
      </c>
      <c r="C377" s="112">
        <v>1.0</v>
      </c>
      <c r="D377" s="112">
        <v>1.0</v>
      </c>
      <c r="E377" s="112">
        <v>1.0</v>
      </c>
      <c r="F377" s="112">
        <v>0.333</v>
      </c>
      <c r="G377" s="112">
        <v>0.0</v>
      </c>
      <c r="H377" s="112">
        <v>0.0</v>
      </c>
      <c r="I377" s="112">
        <v>0.0</v>
      </c>
      <c r="J377" s="112">
        <v>0.0</v>
      </c>
      <c r="K377" s="112">
        <v>1.0</v>
      </c>
      <c r="L377" s="112">
        <v>1.0</v>
      </c>
      <c r="M377" s="112">
        <v>0.0</v>
      </c>
      <c r="N377" s="112">
        <v>0.0</v>
      </c>
      <c r="O377" s="112">
        <v>0.25</v>
      </c>
      <c r="P377" s="112">
        <v>0.333</v>
      </c>
      <c r="Q377" s="112">
        <v>1.0</v>
      </c>
      <c r="AD377" s="119"/>
    </row>
    <row r="378">
      <c r="A378" s="106" t="s">
        <v>413</v>
      </c>
      <c r="B378" s="107">
        <v>2.0</v>
      </c>
      <c r="C378" s="107">
        <v>1.0</v>
      </c>
      <c r="D378" s="107">
        <v>0.0</v>
      </c>
      <c r="E378" s="107">
        <v>0.0</v>
      </c>
      <c r="F378" s="107">
        <v>0.0</v>
      </c>
      <c r="G378" s="107">
        <v>0.0</v>
      </c>
      <c r="H378" s="107">
        <v>0.0</v>
      </c>
      <c r="I378" s="107">
        <v>0.0</v>
      </c>
      <c r="J378" s="107">
        <v>1.0</v>
      </c>
      <c r="K378" s="107">
        <v>1.0</v>
      </c>
      <c r="L378" s="107">
        <v>0.0</v>
      </c>
      <c r="M378" s="107">
        <v>0.0</v>
      </c>
      <c r="N378" s="107">
        <v>0.0</v>
      </c>
      <c r="O378" s="107">
        <v>0.333</v>
      </c>
      <c r="P378" s="107">
        <v>0.0</v>
      </c>
      <c r="Q378" s="107">
        <v>1.0</v>
      </c>
      <c r="AD378" s="119"/>
    </row>
    <row r="379">
      <c r="A379" s="120" t="s">
        <v>99</v>
      </c>
      <c r="B379" s="112">
        <v>21.0</v>
      </c>
      <c r="C379" s="112">
        <v>19.0</v>
      </c>
      <c r="D379" s="112">
        <v>9.0</v>
      </c>
      <c r="E379" s="112">
        <v>16.0</v>
      </c>
      <c r="F379" s="112">
        <v>0.429</v>
      </c>
      <c r="G379" s="112">
        <v>1.0</v>
      </c>
      <c r="H379" s="112">
        <v>1.0</v>
      </c>
      <c r="I379" s="112">
        <v>0.0</v>
      </c>
      <c r="J379" s="112">
        <v>15.0</v>
      </c>
      <c r="K379" s="112">
        <v>5.0</v>
      </c>
      <c r="L379" s="112">
        <v>1.0</v>
      </c>
      <c r="M379" s="112">
        <v>0.0</v>
      </c>
      <c r="N379" s="112">
        <v>0.0</v>
      </c>
      <c r="O379" s="112">
        <v>0.649</v>
      </c>
      <c r="P379" s="112">
        <v>0.571</v>
      </c>
      <c r="Q379" s="112">
        <v>8.0</v>
      </c>
      <c r="AD379" s="119"/>
    </row>
    <row r="380">
      <c r="A380" s="118"/>
      <c r="AD380" s="119"/>
    </row>
    <row r="381">
      <c r="AD381" s="119"/>
    </row>
    <row r="382">
      <c r="AD382" s="119"/>
    </row>
  </sheetData>
  <mergeCells count="25">
    <mergeCell ref="A1:Q1"/>
    <mergeCell ref="A14:Q14"/>
    <mergeCell ref="A28:Q28"/>
    <mergeCell ref="A41:Q41"/>
    <mergeCell ref="A55:Q55"/>
    <mergeCell ref="A69:Q69"/>
    <mergeCell ref="A88:Q88"/>
    <mergeCell ref="A101:Q101"/>
    <mergeCell ref="A117:Q117"/>
    <mergeCell ref="A130:Q130"/>
    <mergeCell ref="A149:Q149"/>
    <mergeCell ref="A162:Q162"/>
    <mergeCell ref="A175:Q175"/>
    <mergeCell ref="A188:Q188"/>
    <mergeCell ref="A302:Q302"/>
    <mergeCell ref="A318:Q318"/>
    <mergeCell ref="A333:Q333"/>
    <mergeCell ref="A360:Q360"/>
    <mergeCell ref="A201:Q201"/>
    <mergeCell ref="A214:Q214"/>
    <mergeCell ref="A229:Q229"/>
    <mergeCell ref="A244:Q244"/>
    <mergeCell ref="A258:Q258"/>
    <mergeCell ref="A271:Q271"/>
    <mergeCell ref="A285:Q285"/>
  </mergeCells>
  <dataValidations>
    <dataValidation type="list" allowBlank="1" showErrorMessage="1" sqref="AD2:AD382">
      <formula1>Total!$A$3:$A$21</formula1>
    </dataValidation>
  </dataValidations>
  <hyperlinks>
    <hyperlink r:id="rId1" ref="A3"/>
    <hyperlink r:id="rId2" ref="R3"/>
    <hyperlink r:id="rId3" ref="A4"/>
    <hyperlink r:id="rId4" ref="R4"/>
    <hyperlink r:id="rId5" ref="A5"/>
    <hyperlink r:id="rId6" ref="R5"/>
    <hyperlink r:id="rId7" ref="A6"/>
    <hyperlink r:id="rId8" ref="R6"/>
    <hyperlink r:id="rId9" ref="A7"/>
    <hyperlink r:id="rId10" ref="A8"/>
    <hyperlink r:id="rId11" ref="A9"/>
    <hyperlink r:id="rId12" ref="A10"/>
    <hyperlink r:id="rId13" ref="A11"/>
    <hyperlink r:id="rId14" ref="A16"/>
    <hyperlink r:id="rId15" ref="R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30"/>
    <hyperlink r:id="rId26" ref="R30"/>
    <hyperlink r:id="rId27" ref="A31"/>
    <hyperlink r:id="rId28" ref="R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43"/>
    <hyperlink r:id="rId37" ref="R43"/>
    <hyperlink r:id="rId38" ref="A44"/>
    <hyperlink r:id="rId39" ref="R44"/>
    <hyperlink r:id="rId40" ref="A45"/>
    <hyperlink r:id="rId41" ref="R45"/>
    <hyperlink r:id="rId42" ref="A46"/>
    <hyperlink r:id="rId43" ref="A47"/>
    <hyperlink r:id="rId44" ref="A48"/>
    <hyperlink r:id="rId45" ref="A49"/>
    <hyperlink r:id="rId46" ref="A50"/>
    <hyperlink r:id="rId47" ref="A51"/>
    <hyperlink r:id="rId48" ref="A52"/>
    <hyperlink r:id="rId49" ref="A57"/>
    <hyperlink r:id="rId50" ref="R57"/>
    <hyperlink r:id="rId51" ref="A58"/>
    <hyperlink r:id="rId52" ref="A59"/>
    <hyperlink r:id="rId53" ref="A60"/>
    <hyperlink r:id="rId54" ref="A61"/>
    <hyperlink r:id="rId55" ref="A62"/>
    <hyperlink r:id="rId56" ref="A63"/>
    <hyperlink r:id="rId57" ref="A64"/>
    <hyperlink r:id="rId58" ref="A65"/>
    <hyperlink r:id="rId59" ref="A66"/>
    <hyperlink r:id="rId60" ref="R70"/>
    <hyperlink r:id="rId61" ref="A71"/>
    <hyperlink r:id="rId62" ref="R71"/>
    <hyperlink r:id="rId63" ref="A72"/>
    <hyperlink r:id="rId64" ref="A73"/>
    <hyperlink r:id="rId65" ref="A74"/>
    <hyperlink r:id="rId66" ref="A75"/>
    <hyperlink r:id="rId67" ref="A76"/>
    <hyperlink r:id="rId68" ref="A77"/>
    <hyperlink r:id="rId69" ref="A78"/>
    <hyperlink r:id="rId70" ref="A79"/>
    <hyperlink r:id="rId71" ref="A80"/>
    <hyperlink r:id="rId72" ref="A81"/>
    <hyperlink r:id="rId73" ref="A82"/>
    <hyperlink r:id="rId74" ref="A83"/>
    <hyperlink r:id="rId75" ref="A84"/>
    <hyperlink r:id="rId76" ref="A85"/>
    <hyperlink r:id="rId77" ref="R89"/>
    <hyperlink r:id="rId78" ref="A90"/>
    <hyperlink r:id="rId79" ref="R90"/>
    <hyperlink r:id="rId80" ref="A91"/>
    <hyperlink r:id="rId81" ref="A92"/>
    <hyperlink r:id="rId82" ref="A93"/>
    <hyperlink r:id="rId83" ref="A94"/>
    <hyperlink r:id="rId84" ref="A95"/>
    <hyperlink r:id="rId85" ref="A96"/>
    <hyperlink r:id="rId86" ref="A97"/>
    <hyperlink r:id="rId87" ref="A98"/>
    <hyperlink r:id="rId88" ref="R102"/>
    <hyperlink r:id="rId89" ref="A103"/>
    <hyperlink r:id="rId90" ref="R103"/>
    <hyperlink r:id="rId91" ref="A104"/>
    <hyperlink r:id="rId92" ref="R104"/>
    <hyperlink r:id="rId93" ref="A105"/>
    <hyperlink r:id="rId94" ref="A106"/>
    <hyperlink r:id="rId95" ref="A107"/>
    <hyperlink r:id="rId96" ref="A108"/>
    <hyperlink r:id="rId97" ref="A109"/>
    <hyperlink r:id="rId98" ref="A110"/>
    <hyperlink r:id="rId99" ref="A111"/>
    <hyperlink r:id="rId100" ref="A112"/>
    <hyperlink r:id="rId101" ref="A113"/>
    <hyperlink r:id="rId102" ref="A114"/>
    <hyperlink r:id="rId103" ref="R118"/>
    <hyperlink r:id="rId104" ref="A119"/>
    <hyperlink r:id="rId105" ref="R119"/>
    <hyperlink r:id="rId106" ref="A120"/>
    <hyperlink r:id="rId107" ref="A121"/>
    <hyperlink r:id="rId108" ref="A122"/>
    <hyperlink r:id="rId109" ref="A123"/>
    <hyperlink r:id="rId110" ref="A124"/>
    <hyperlink r:id="rId111" ref="A125"/>
    <hyperlink r:id="rId112" ref="A126"/>
    <hyperlink r:id="rId113" ref="A127"/>
    <hyperlink r:id="rId114" ref="A132"/>
    <hyperlink r:id="rId115" ref="R132"/>
    <hyperlink r:id="rId116" ref="A133"/>
    <hyperlink r:id="rId117" ref="R133"/>
    <hyperlink r:id="rId118" ref="A134"/>
    <hyperlink r:id="rId119" ref="R134"/>
    <hyperlink r:id="rId120" ref="A135"/>
    <hyperlink r:id="rId121" ref="A136"/>
    <hyperlink r:id="rId122" ref="A137"/>
    <hyperlink r:id="rId123" ref="A138"/>
    <hyperlink r:id="rId124" ref="A139"/>
    <hyperlink r:id="rId125" ref="A140"/>
    <hyperlink r:id="rId126" ref="A141"/>
    <hyperlink r:id="rId127" ref="A142"/>
    <hyperlink r:id="rId128" ref="A143"/>
    <hyperlink r:id="rId129" ref="A144"/>
    <hyperlink r:id="rId130" ref="A145"/>
    <hyperlink r:id="rId131" ref="A146"/>
    <hyperlink r:id="rId132" ref="R150"/>
    <hyperlink r:id="rId133" ref="A151"/>
    <hyperlink r:id="rId134" ref="R151"/>
    <hyperlink r:id="rId135" ref="A152"/>
    <hyperlink r:id="rId136" ref="A153"/>
    <hyperlink r:id="rId137" ref="A154"/>
    <hyperlink r:id="rId138" ref="A155"/>
    <hyperlink r:id="rId139" ref="A156"/>
    <hyperlink r:id="rId140" ref="A157"/>
    <hyperlink r:id="rId141" ref="A158"/>
    <hyperlink r:id="rId142" ref="A159"/>
    <hyperlink r:id="rId143" ref="A164"/>
    <hyperlink r:id="rId144" ref="R164"/>
    <hyperlink r:id="rId145" ref="A165"/>
    <hyperlink r:id="rId146" ref="R165"/>
    <hyperlink r:id="rId147" ref="A166"/>
    <hyperlink r:id="rId148" ref="R166"/>
    <hyperlink r:id="rId149" ref="A167"/>
    <hyperlink r:id="rId150" ref="A168"/>
    <hyperlink r:id="rId151" ref="A169"/>
    <hyperlink r:id="rId152" ref="A170"/>
    <hyperlink r:id="rId153" ref="A171"/>
    <hyperlink r:id="rId154" ref="A172"/>
    <hyperlink r:id="rId155" ref="R176"/>
    <hyperlink r:id="rId156" ref="A177"/>
    <hyperlink r:id="rId157" ref="R177"/>
    <hyperlink r:id="rId158" ref="A178"/>
    <hyperlink r:id="rId159" ref="R178"/>
    <hyperlink r:id="rId160" ref="A179"/>
    <hyperlink r:id="rId161" ref="A180"/>
    <hyperlink r:id="rId162" ref="A181"/>
    <hyperlink r:id="rId163" ref="A182"/>
    <hyperlink r:id="rId164" ref="A183"/>
    <hyperlink r:id="rId165" ref="A184"/>
    <hyperlink r:id="rId166" ref="A185"/>
    <hyperlink r:id="rId167" ref="R189"/>
    <hyperlink r:id="rId168" ref="A190"/>
    <hyperlink r:id="rId169" ref="A191"/>
    <hyperlink r:id="rId170" ref="A192"/>
    <hyperlink r:id="rId171" ref="A193"/>
    <hyperlink r:id="rId172" ref="A194"/>
    <hyperlink r:id="rId173" ref="A195"/>
    <hyperlink r:id="rId174" ref="A196"/>
    <hyperlink r:id="rId175" ref="A197"/>
    <hyperlink r:id="rId176" ref="A198"/>
    <hyperlink r:id="rId177" ref="R202"/>
    <hyperlink r:id="rId178" ref="A203"/>
    <hyperlink r:id="rId179" ref="A204"/>
    <hyperlink r:id="rId180" ref="A205"/>
    <hyperlink r:id="rId181" ref="A206"/>
    <hyperlink r:id="rId182" ref="A207"/>
    <hyperlink r:id="rId183" ref="A208"/>
    <hyperlink r:id="rId184" ref="A209"/>
    <hyperlink r:id="rId185" ref="A210"/>
    <hyperlink r:id="rId186" ref="A211"/>
    <hyperlink r:id="rId187" ref="R215"/>
    <hyperlink r:id="rId188" ref="A216"/>
    <hyperlink r:id="rId189" ref="R216"/>
    <hyperlink r:id="rId190" ref="A217"/>
    <hyperlink r:id="rId191" ref="R217"/>
    <hyperlink r:id="rId192" ref="A218"/>
    <hyperlink r:id="rId193" ref="A219"/>
    <hyperlink r:id="rId194" ref="A220"/>
    <hyperlink r:id="rId195" ref="A221"/>
    <hyperlink r:id="rId196" ref="A222"/>
    <hyperlink r:id="rId197" ref="A223"/>
    <hyperlink r:id="rId198" ref="A224"/>
    <hyperlink r:id="rId199" ref="A225"/>
    <hyperlink r:id="rId200" ref="A226"/>
    <hyperlink r:id="rId201" ref="A231"/>
    <hyperlink r:id="rId202" ref="R231"/>
    <hyperlink r:id="rId203" ref="A232"/>
    <hyperlink r:id="rId204" ref="R232"/>
    <hyperlink r:id="rId205" ref="A233"/>
    <hyperlink r:id="rId206" ref="A234"/>
    <hyperlink r:id="rId207" ref="A235"/>
    <hyperlink r:id="rId208" ref="A236"/>
    <hyperlink r:id="rId209" ref="A237"/>
    <hyperlink r:id="rId210" ref="A238"/>
    <hyperlink r:id="rId211" ref="A239"/>
    <hyperlink r:id="rId212" ref="A240"/>
    <hyperlink r:id="rId213" ref="A241"/>
    <hyperlink r:id="rId214" ref="R245"/>
    <hyperlink r:id="rId215" ref="A246"/>
    <hyperlink r:id="rId216" ref="A247"/>
    <hyperlink r:id="rId217" ref="A248"/>
    <hyperlink r:id="rId218" ref="A249"/>
    <hyperlink r:id="rId219" ref="A250"/>
    <hyperlink r:id="rId220" ref="A251"/>
    <hyperlink r:id="rId221" ref="A252"/>
    <hyperlink r:id="rId222" ref="A253"/>
    <hyperlink r:id="rId223" ref="A254"/>
    <hyperlink r:id="rId224" ref="A255"/>
    <hyperlink r:id="rId225" ref="R259"/>
    <hyperlink r:id="rId226" ref="A260"/>
    <hyperlink r:id="rId227" ref="R260"/>
    <hyperlink r:id="rId228" ref="A261"/>
    <hyperlink r:id="rId229" ref="A262"/>
    <hyperlink r:id="rId230" ref="A263"/>
    <hyperlink r:id="rId231" ref="A264"/>
    <hyperlink r:id="rId232" ref="A265"/>
    <hyperlink r:id="rId233" ref="A266"/>
    <hyperlink r:id="rId234" ref="A267"/>
    <hyperlink r:id="rId235" ref="A268"/>
    <hyperlink r:id="rId236" ref="R272"/>
    <hyperlink r:id="rId237" ref="A273"/>
    <hyperlink r:id="rId238" ref="R273"/>
    <hyperlink r:id="rId239" ref="A274"/>
    <hyperlink r:id="rId240" ref="R274"/>
    <hyperlink r:id="rId241" ref="A275"/>
    <hyperlink r:id="rId242" ref="R275"/>
    <hyperlink r:id="rId243" ref="A276"/>
    <hyperlink r:id="rId244" ref="A277"/>
    <hyperlink r:id="rId245" ref="A278"/>
    <hyperlink r:id="rId246" ref="A279"/>
    <hyperlink r:id="rId247" ref="A280"/>
    <hyperlink r:id="rId248" ref="A281"/>
    <hyperlink r:id="rId249" ref="A282"/>
    <hyperlink r:id="rId250" ref="A287"/>
    <hyperlink r:id="rId251" ref="R287"/>
    <hyperlink r:id="rId252" ref="A288"/>
    <hyperlink r:id="rId253" ref="R288"/>
    <hyperlink r:id="rId254" ref="A289"/>
    <hyperlink r:id="rId255" ref="R289"/>
    <hyperlink r:id="rId256" ref="A290"/>
    <hyperlink r:id="rId257" ref="R290"/>
    <hyperlink r:id="rId258" ref="A291"/>
    <hyperlink r:id="rId259" ref="A292"/>
    <hyperlink r:id="rId260" ref="A293"/>
    <hyperlink r:id="rId261" ref="A294"/>
    <hyperlink r:id="rId262" ref="A295"/>
    <hyperlink r:id="rId263" ref="A296"/>
    <hyperlink r:id="rId264" ref="A297"/>
    <hyperlink r:id="rId265" ref="A298"/>
    <hyperlink r:id="rId266" ref="A299"/>
    <hyperlink r:id="rId267" ref="A304"/>
    <hyperlink r:id="rId268" ref="R304"/>
    <hyperlink r:id="rId269" ref="A305"/>
    <hyperlink r:id="rId270" ref="A306"/>
    <hyperlink r:id="rId271" ref="A307"/>
    <hyperlink r:id="rId272" ref="A308"/>
    <hyperlink r:id="rId273" ref="A309"/>
    <hyperlink r:id="rId274" ref="A310"/>
    <hyperlink r:id="rId275" ref="A311"/>
    <hyperlink r:id="rId276" ref="A312"/>
    <hyperlink r:id="rId277" ref="A313"/>
    <hyperlink r:id="rId278" ref="A314"/>
    <hyperlink r:id="rId279" ref="A315"/>
    <hyperlink r:id="rId280" ref="R319"/>
    <hyperlink r:id="rId281" ref="A320"/>
    <hyperlink r:id="rId282" ref="A321"/>
    <hyperlink r:id="rId283" ref="A322"/>
    <hyperlink r:id="rId284" ref="A323"/>
    <hyperlink r:id="rId285" ref="A324"/>
    <hyperlink r:id="rId286" ref="A325"/>
    <hyperlink r:id="rId287" ref="A326"/>
    <hyperlink r:id="rId288" ref="A327"/>
    <hyperlink r:id="rId289" ref="A328"/>
    <hyperlink r:id="rId290" ref="A329"/>
    <hyperlink r:id="rId291" ref="A330"/>
    <hyperlink r:id="rId292" ref="R334"/>
    <hyperlink r:id="rId293" ref="A335"/>
    <hyperlink r:id="rId294" ref="R335"/>
    <hyperlink r:id="rId295" ref="A336"/>
    <hyperlink r:id="rId296" ref="A337"/>
    <hyperlink r:id="rId297" ref="A338"/>
    <hyperlink r:id="rId298" ref="A339"/>
    <hyperlink r:id="rId299" ref="A340"/>
    <hyperlink r:id="rId300" ref="A341"/>
    <hyperlink r:id="rId301" ref="A342"/>
    <hyperlink r:id="rId302" ref="A343"/>
    <hyperlink r:id="rId303" ref="A344"/>
    <hyperlink r:id="rId304" ref="A345"/>
    <hyperlink r:id="rId305" ref="A362"/>
    <hyperlink r:id="rId306" ref="R362"/>
    <hyperlink r:id="rId307" ref="A363"/>
    <hyperlink r:id="rId308" ref="R363"/>
    <hyperlink r:id="rId309" ref="A364"/>
    <hyperlink r:id="rId310" ref="A365"/>
    <hyperlink r:id="rId311" ref="A366"/>
    <hyperlink r:id="rId312" ref="A367"/>
    <hyperlink r:id="rId313" ref="A368"/>
    <hyperlink r:id="rId314" ref="A369"/>
    <hyperlink r:id="rId315" ref="A370"/>
    <hyperlink r:id="rId316" ref="A371"/>
    <hyperlink r:id="rId317" ref="A372"/>
    <hyperlink r:id="rId318" ref="A373"/>
    <hyperlink r:id="rId319" ref="A374"/>
    <hyperlink r:id="rId320" ref="A375"/>
    <hyperlink r:id="rId321" ref="A376"/>
    <hyperlink r:id="rId322" ref="A377"/>
    <hyperlink r:id="rId323" ref="A378"/>
  </hyperlinks>
  <drawing r:id="rId32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8" t="s">
        <v>84</v>
      </c>
      <c r="Q1" s="99"/>
      <c r="AB1" s="100" t="s">
        <v>85</v>
      </c>
      <c r="AC1" s="100" t="s">
        <v>28</v>
      </c>
      <c r="AD1" s="100" t="s">
        <v>86</v>
      </c>
    </row>
    <row r="2">
      <c r="A2" s="101" t="s">
        <v>87</v>
      </c>
      <c r="B2" s="102" t="s">
        <v>3</v>
      </c>
      <c r="C2" s="102" t="s">
        <v>63</v>
      </c>
      <c r="D2" s="102" t="s">
        <v>62</v>
      </c>
      <c r="E2" s="102" t="s">
        <v>6</v>
      </c>
      <c r="F2" s="102" t="s">
        <v>18</v>
      </c>
      <c r="G2" s="102" t="s">
        <v>8</v>
      </c>
      <c r="H2" s="102" t="s">
        <v>9</v>
      </c>
      <c r="I2" s="102" t="s">
        <v>10</v>
      </c>
      <c r="J2" s="102" t="s">
        <v>12</v>
      </c>
      <c r="K2" s="102" t="s">
        <v>88</v>
      </c>
      <c r="L2" s="102" t="s">
        <v>15</v>
      </c>
      <c r="M2" s="102" t="s">
        <v>16</v>
      </c>
      <c r="N2" s="102" t="s">
        <v>14</v>
      </c>
      <c r="O2" s="102" t="s">
        <v>19</v>
      </c>
      <c r="P2" s="102" t="s">
        <v>20</v>
      </c>
      <c r="Q2" s="102" t="s">
        <v>11</v>
      </c>
      <c r="AB2" s="104">
        <v>1.0</v>
      </c>
      <c r="AC2" s="104">
        <v>2.0</v>
      </c>
      <c r="AD2" s="104" t="s">
        <v>39</v>
      </c>
    </row>
    <row r="3">
      <c r="A3" s="106" t="s">
        <v>414</v>
      </c>
      <c r="B3" s="107">
        <v>2.0</v>
      </c>
      <c r="C3" s="107">
        <v>0.0</v>
      </c>
      <c r="D3" s="107">
        <v>1.0</v>
      </c>
      <c r="E3" s="107">
        <v>1.0</v>
      </c>
      <c r="F3" s="107">
        <v>0.5</v>
      </c>
      <c r="G3" s="107">
        <v>0.0</v>
      </c>
      <c r="H3" s="107">
        <v>0.0</v>
      </c>
      <c r="I3" s="107">
        <v>0.0</v>
      </c>
      <c r="J3" s="107">
        <v>0.0</v>
      </c>
      <c r="K3" s="107">
        <v>0.0</v>
      </c>
      <c r="L3" s="107">
        <v>0.0</v>
      </c>
      <c r="M3" s="107">
        <v>0.0</v>
      </c>
      <c r="N3" s="107">
        <v>0.0</v>
      </c>
      <c r="O3" s="107">
        <v>0.5</v>
      </c>
      <c r="P3" s="107">
        <v>0.5</v>
      </c>
      <c r="Q3" s="107">
        <v>0.0</v>
      </c>
      <c r="R3" s="101" t="s">
        <v>89</v>
      </c>
      <c r="S3" s="102" t="s">
        <v>61</v>
      </c>
      <c r="T3" s="102" t="s">
        <v>62</v>
      </c>
      <c r="U3" s="102" t="s">
        <v>63</v>
      </c>
      <c r="V3" s="102" t="s">
        <v>64</v>
      </c>
      <c r="W3" s="102" t="s">
        <v>12</v>
      </c>
      <c r="X3" s="102" t="s">
        <v>88</v>
      </c>
      <c r="Y3" s="102" t="s">
        <v>10</v>
      </c>
      <c r="Z3" s="102" t="s">
        <v>70</v>
      </c>
      <c r="AA3" s="103"/>
      <c r="AB3" s="110">
        <v>2.0</v>
      </c>
      <c r="AC3" s="110">
        <v>1.0</v>
      </c>
      <c r="AD3" s="110" t="s">
        <v>42</v>
      </c>
    </row>
    <row r="4">
      <c r="A4" s="106" t="s">
        <v>415</v>
      </c>
      <c r="B4" s="112">
        <v>0.0</v>
      </c>
      <c r="C4" s="112">
        <v>1.0</v>
      </c>
      <c r="D4" s="112">
        <v>0.0</v>
      </c>
      <c r="E4" s="112">
        <v>0.0</v>
      </c>
      <c r="F4" s="112">
        <v>0.0</v>
      </c>
      <c r="G4" s="112">
        <v>0.0</v>
      </c>
      <c r="H4" s="112">
        <v>0.0</v>
      </c>
      <c r="I4" s="112">
        <v>0.0</v>
      </c>
      <c r="J4" s="112">
        <v>1.0</v>
      </c>
      <c r="K4" s="112">
        <v>0.0</v>
      </c>
      <c r="L4" s="112">
        <v>0.0</v>
      </c>
      <c r="M4" s="112">
        <v>0.0</v>
      </c>
      <c r="N4" s="112">
        <v>0.0</v>
      </c>
      <c r="O4" s="112">
        <v>1.0</v>
      </c>
      <c r="P4" s="112">
        <v>0.0</v>
      </c>
      <c r="Q4" s="112">
        <v>0.0</v>
      </c>
      <c r="R4" s="106" t="s">
        <v>416</v>
      </c>
      <c r="S4" s="107">
        <v>5.0</v>
      </c>
      <c r="T4" s="107">
        <v>1.0</v>
      </c>
      <c r="U4" s="107">
        <v>0.0</v>
      </c>
      <c r="V4" s="107">
        <v>0.0</v>
      </c>
      <c r="W4" s="107">
        <v>0.0</v>
      </c>
      <c r="X4" s="107">
        <v>7.0</v>
      </c>
      <c r="Y4" s="107">
        <v>0.0</v>
      </c>
      <c r="Z4" s="107">
        <v>0.0</v>
      </c>
      <c r="AA4" s="109"/>
      <c r="AB4" s="115">
        <v>3.0</v>
      </c>
      <c r="AC4" s="115">
        <v>1.0</v>
      </c>
      <c r="AD4" s="115" t="s">
        <v>37</v>
      </c>
    </row>
    <row r="5">
      <c r="A5" s="106" t="s">
        <v>417</v>
      </c>
      <c r="B5" s="107">
        <v>3.0</v>
      </c>
      <c r="C5" s="107">
        <v>1.0</v>
      </c>
      <c r="D5" s="107">
        <v>2.0</v>
      </c>
      <c r="E5" s="107">
        <v>0.0</v>
      </c>
      <c r="F5" s="107">
        <v>0.667</v>
      </c>
      <c r="G5" s="107">
        <v>1.0</v>
      </c>
      <c r="H5" s="107">
        <v>0.0</v>
      </c>
      <c r="I5" s="107">
        <v>0.0</v>
      </c>
      <c r="J5" s="107">
        <v>0.0</v>
      </c>
      <c r="K5" s="107">
        <v>1.0</v>
      </c>
      <c r="L5" s="107">
        <v>0.0</v>
      </c>
      <c r="M5" s="107">
        <v>0.0</v>
      </c>
      <c r="N5" s="107">
        <v>0.0</v>
      </c>
      <c r="O5" s="107">
        <v>0.667</v>
      </c>
      <c r="P5" s="107">
        <v>1.0</v>
      </c>
      <c r="Q5" s="107">
        <v>1.0</v>
      </c>
      <c r="R5" s="120" t="s">
        <v>99</v>
      </c>
      <c r="S5" s="112">
        <v>5.0</v>
      </c>
      <c r="T5" s="112">
        <v>1.0</v>
      </c>
      <c r="U5" s="112">
        <v>0.0</v>
      </c>
      <c r="V5" s="112">
        <v>0.0</v>
      </c>
      <c r="W5" s="112">
        <v>0.0</v>
      </c>
      <c r="X5" s="112">
        <v>7.0</v>
      </c>
      <c r="Y5" s="112">
        <v>0.0</v>
      </c>
      <c r="Z5" s="112">
        <v>0.0</v>
      </c>
      <c r="AA5" s="114"/>
      <c r="AB5" s="110">
        <v>4.0</v>
      </c>
      <c r="AC5" s="110">
        <v>2.0</v>
      </c>
      <c r="AD5" s="110" t="s">
        <v>53</v>
      </c>
    </row>
    <row r="6">
      <c r="A6" s="106" t="s">
        <v>418</v>
      </c>
      <c r="B6" s="112">
        <v>1.0</v>
      </c>
      <c r="C6" s="112">
        <v>1.0</v>
      </c>
      <c r="D6" s="112">
        <v>1.0</v>
      </c>
      <c r="E6" s="112">
        <v>0.0</v>
      </c>
      <c r="F6" s="112">
        <v>1.0</v>
      </c>
      <c r="G6" s="112">
        <v>0.0</v>
      </c>
      <c r="H6" s="112">
        <v>0.0</v>
      </c>
      <c r="I6" s="112">
        <v>0.0</v>
      </c>
      <c r="J6" s="112">
        <v>0.0</v>
      </c>
      <c r="K6" s="112">
        <v>0.0</v>
      </c>
      <c r="L6" s="112">
        <v>0.0</v>
      </c>
      <c r="M6" s="112">
        <v>0.0</v>
      </c>
      <c r="N6" s="112">
        <v>0.0</v>
      </c>
      <c r="O6" s="112">
        <v>1.0</v>
      </c>
      <c r="P6" s="112">
        <v>1.0</v>
      </c>
      <c r="Q6" s="112">
        <v>0.0</v>
      </c>
      <c r="R6" s="118"/>
      <c r="AB6" s="115">
        <v>5.0</v>
      </c>
      <c r="AC6" s="115"/>
      <c r="AD6" s="115"/>
    </row>
    <row r="7">
      <c r="A7" s="106" t="s">
        <v>419</v>
      </c>
      <c r="B7" s="107">
        <v>0.0</v>
      </c>
      <c r="C7" s="107">
        <v>2.0</v>
      </c>
      <c r="D7" s="107">
        <v>0.0</v>
      </c>
      <c r="E7" s="107">
        <v>0.0</v>
      </c>
      <c r="F7" s="107">
        <v>0.0</v>
      </c>
      <c r="G7" s="107">
        <v>0.0</v>
      </c>
      <c r="H7" s="107">
        <v>0.0</v>
      </c>
      <c r="I7" s="107">
        <v>0.0</v>
      </c>
      <c r="J7" s="107">
        <v>3.0</v>
      </c>
      <c r="K7" s="107">
        <v>0.0</v>
      </c>
      <c r="L7" s="107">
        <v>0.0</v>
      </c>
      <c r="M7" s="107">
        <v>0.0</v>
      </c>
      <c r="N7" s="107">
        <v>0.0</v>
      </c>
      <c r="O7" s="107">
        <v>1.0</v>
      </c>
      <c r="P7" s="107">
        <v>0.0</v>
      </c>
      <c r="Q7" s="107">
        <v>0.0</v>
      </c>
      <c r="AB7" s="110">
        <v>6.0</v>
      </c>
      <c r="AC7" s="110"/>
      <c r="AD7" s="110"/>
    </row>
    <row r="8">
      <c r="A8" s="106" t="s">
        <v>420</v>
      </c>
      <c r="B8" s="112">
        <v>2.0</v>
      </c>
      <c r="C8" s="112">
        <v>0.0</v>
      </c>
      <c r="D8" s="112">
        <v>1.0</v>
      </c>
      <c r="E8" s="112">
        <v>1.0</v>
      </c>
      <c r="F8" s="112">
        <v>0.5</v>
      </c>
      <c r="G8" s="112">
        <v>0.0</v>
      </c>
      <c r="H8" s="112">
        <v>0.0</v>
      </c>
      <c r="I8" s="112">
        <v>0.0</v>
      </c>
      <c r="J8" s="112">
        <v>0.0</v>
      </c>
      <c r="K8" s="112">
        <v>0.0</v>
      </c>
      <c r="L8" s="112">
        <v>0.0</v>
      </c>
      <c r="M8" s="112">
        <v>0.0</v>
      </c>
      <c r="N8" s="112">
        <v>0.0</v>
      </c>
      <c r="O8" s="112">
        <v>0.5</v>
      </c>
      <c r="P8" s="112">
        <v>0.5</v>
      </c>
      <c r="Q8" s="112">
        <v>0.0</v>
      </c>
      <c r="AB8" s="100">
        <v>7.0</v>
      </c>
      <c r="AD8" s="119"/>
    </row>
    <row r="9">
      <c r="A9" s="106" t="s">
        <v>421</v>
      </c>
      <c r="B9" s="107">
        <v>2.0</v>
      </c>
      <c r="C9" s="107">
        <v>1.0</v>
      </c>
      <c r="D9" s="107">
        <v>0.0</v>
      </c>
      <c r="E9" s="107">
        <v>0.0</v>
      </c>
      <c r="F9" s="107">
        <v>0.0</v>
      </c>
      <c r="G9" s="107">
        <v>0.0</v>
      </c>
      <c r="H9" s="107">
        <v>0.0</v>
      </c>
      <c r="I9" s="107">
        <v>0.0</v>
      </c>
      <c r="J9" s="107">
        <v>0.0</v>
      </c>
      <c r="K9" s="107">
        <v>0.0</v>
      </c>
      <c r="L9" s="107">
        <v>0.0</v>
      </c>
      <c r="M9" s="107">
        <v>0.0</v>
      </c>
      <c r="N9" s="107">
        <v>1.0</v>
      </c>
      <c r="O9" s="107">
        <v>0.333</v>
      </c>
      <c r="P9" s="107">
        <v>0.0</v>
      </c>
      <c r="Q9" s="107">
        <v>0.0</v>
      </c>
      <c r="AD9" s="119"/>
    </row>
    <row r="10">
      <c r="A10" s="106" t="s">
        <v>422</v>
      </c>
      <c r="B10" s="112">
        <v>0.0</v>
      </c>
      <c r="C10" s="112">
        <v>1.0</v>
      </c>
      <c r="D10" s="112">
        <v>0.0</v>
      </c>
      <c r="E10" s="112">
        <v>0.0</v>
      </c>
      <c r="F10" s="112">
        <v>0.0</v>
      </c>
      <c r="G10" s="112">
        <v>0.0</v>
      </c>
      <c r="H10" s="112">
        <v>0.0</v>
      </c>
      <c r="I10" s="112">
        <v>0.0</v>
      </c>
      <c r="J10" s="112">
        <v>1.0</v>
      </c>
      <c r="K10" s="112">
        <v>0.0</v>
      </c>
      <c r="L10" s="112">
        <v>0.0</v>
      </c>
      <c r="M10" s="112">
        <v>0.0</v>
      </c>
      <c r="N10" s="112">
        <v>0.0</v>
      </c>
      <c r="O10" s="112">
        <v>1.0</v>
      </c>
      <c r="P10" s="112">
        <v>0.0</v>
      </c>
      <c r="Q10" s="112">
        <v>0.0</v>
      </c>
      <c r="AD10" s="119"/>
    </row>
    <row r="11">
      <c r="A11" s="106" t="s">
        <v>423</v>
      </c>
      <c r="B11" s="107">
        <v>2.0</v>
      </c>
      <c r="C11" s="107">
        <v>0.0</v>
      </c>
      <c r="D11" s="107">
        <v>0.0</v>
      </c>
      <c r="E11" s="107">
        <v>0.0</v>
      </c>
      <c r="F11" s="107">
        <v>0.0</v>
      </c>
      <c r="G11" s="107">
        <v>0.0</v>
      </c>
      <c r="H11" s="107">
        <v>0.0</v>
      </c>
      <c r="I11" s="107">
        <v>0.0</v>
      </c>
      <c r="J11" s="107">
        <v>0.0</v>
      </c>
      <c r="K11" s="107">
        <v>0.0</v>
      </c>
      <c r="L11" s="107">
        <v>0.0</v>
      </c>
      <c r="M11" s="107">
        <v>0.0</v>
      </c>
      <c r="N11" s="107">
        <v>0.0</v>
      </c>
      <c r="O11" s="107">
        <v>0.0</v>
      </c>
      <c r="P11" s="107">
        <v>0.0</v>
      </c>
      <c r="Q11" s="107">
        <v>0.0</v>
      </c>
      <c r="AD11" s="119"/>
    </row>
    <row r="12">
      <c r="A12" s="106" t="s">
        <v>424</v>
      </c>
      <c r="B12" s="112">
        <v>3.0</v>
      </c>
      <c r="C12" s="112">
        <v>2.0</v>
      </c>
      <c r="D12" s="112">
        <v>2.0</v>
      </c>
      <c r="E12" s="112">
        <v>4.0</v>
      </c>
      <c r="F12" s="112">
        <v>0.667</v>
      </c>
      <c r="G12" s="112">
        <v>0.0</v>
      </c>
      <c r="H12" s="112">
        <v>1.0</v>
      </c>
      <c r="I12" s="112">
        <v>0.0</v>
      </c>
      <c r="J12" s="112">
        <v>0.0</v>
      </c>
      <c r="K12" s="112">
        <v>0.0</v>
      </c>
      <c r="L12" s="112">
        <v>0.0</v>
      </c>
      <c r="M12" s="112">
        <v>0.0</v>
      </c>
      <c r="N12" s="112">
        <v>0.0</v>
      </c>
      <c r="O12" s="112">
        <v>0.667</v>
      </c>
      <c r="P12" s="112">
        <v>1.333</v>
      </c>
      <c r="Q12" s="112">
        <v>0.0</v>
      </c>
      <c r="AD12" s="119"/>
    </row>
    <row r="13">
      <c r="A13" s="106" t="s">
        <v>425</v>
      </c>
      <c r="B13" s="107">
        <v>1.0</v>
      </c>
      <c r="C13" s="107">
        <v>2.0</v>
      </c>
      <c r="D13" s="107">
        <v>0.0</v>
      </c>
      <c r="E13" s="107">
        <v>0.0</v>
      </c>
      <c r="F13" s="107">
        <v>0.0</v>
      </c>
      <c r="G13" s="107">
        <v>0.0</v>
      </c>
      <c r="H13" s="107">
        <v>0.0</v>
      </c>
      <c r="I13" s="107">
        <v>0.0</v>
      </c>
      <c r="J13" s="107">
        <v>1.0</v>
      </c>
      <c r="K13" s="107">
        <v>0.0</v>
      </c>
      <c r="L13" s="107">
        <v>0.0</v>
      </c>
      <c r="M13" s="107">
        <v>0.0</v>
      </c>
      <c r="N13" s="107">
        <v>0.0</v>
      </c>
      <c r="O13" s="107">
        <v>0.5</v>
      </c>
      <c r="P13" s="107">
        <v>0.0</v>
      </c>
      <c r="Q13" s="107">
        <v>0.0</v>
      </c>
      <c r="AD13" s="119"/>
    </row>
    <row r="14">
      <c r="A14" s="106" t="s">
        <v>426</v>
      </c>
      <c r="B14" s="112">
        <v>2.0</v>
      </c>
      <c r="C14" s="112">
        <v>3.0</v>
      </c>
      <c r="D14" s="112">
        <v>1.0</v>
      </c>
      <c r="E14" s="112">
        <v>1.0</v>
      </c>
      <c r="F14" s="112">
        <v>0.5</v>
      </c>
      <c r="G14" s="112">
        <v>0.0</v>
      </c>
      <c r="H14" s="112">
        <v>0.0</v>
      </c>
      <c r="I14" s="112">
        <v>0.0</v>
      </c>
      <c r="J14" s="112">
        <v>1.0</v>
      </c>
      <c r="K14" s="112">
        <v>0.0</v>
      </c>
      <c r="L14" s="112">
        <v>0.0</v>
      </c>
      <c r="M14" s="112">
        <v>0.0</v>
      </c>
      <c r="N14" s="112">
        <v>0.0</v>
      </c>
      <c r="O14" s="112">
        <v>0.667</v>
      </c>
      <c r="P14" s="112">
        <v>0.5</v>
      </c>
      <c r="Q14" s="112">
        <v>1.0</v>
      </c>
      <c r="AD14" s="119"/>
    </row>
    <row r="15">
      <c r="A15" s="106" t="s">
        <v>427</v>
      </c>
      <c r="B15" s="107">
        <v>3.0</v>
      </c>
      <c r="C15" s="107">
        <v>3.0</v>
      </c>
      <c r="D15" s="107">
        <v>3.0</v>
      </c>
      <c r="E15" s="107">
        <v>6.0</v>
      </c>
      <c r="F15" s="107">
        <v>1.0</v>
      </c>
      <c r="G15" s="107">
        <v>1.0</v>
      </c>
      <c r="H15" s="107">
        <v>0.0</v>
      </c>
      <c r="I15" s="107">
        <v>2.0</v>
      </c>
      <c r="J15" s="107">
        <v>0.0</v>
      </c>
      <c r="K15" s="107">
        <v>0.0</v>
      </c>
      <c r="L15" s="107">
        <v>1.0</v>
      </c>
      <c r="M15" s="107">
        <v>0.0</v>
      </c>
      <c r="N15" s="107">
        <v>0.0</v>
      </c>
      <c r="O15" s="107">
        <v>0.75</v>
      </c>
      <c r="P15" s="107">
        <v>3.333</v>
      </c>
      <c r="Q15" s="107">
        <v>0.0</v>
      </c>
      <c r="AB15" s="104"/>
      <c r="AC15" s="104"/>
      <c r="AD15" s="104"/>
    </row>
    <row r="16">
      <c r="A16" s="106" t="s">
        <v>428</v>
      </c>
      <c r="B16" s="112">
        <v>3.0</v>
      </c>
      <c r="C16" s="112">
        <v>2.0</v>
      </c>
      <c r="D16" s="112">
        <v>3.0</v>
      </c>
      <c r="E16" s="112">
        <v>3.0</v>
      </c>
      <c r="F16" s="112">
        <v>1.0</v>
      </c>
      <c r="G16" s="112">
        <v>0.0</v>
      </c>
      <c r="H16" s="112">
        <v>0.0</v>
      </c>
      <c r="I16" s="112">
        <v>0.0</v>
      </c>
      <c r="J16" s="112">
        <v>0.0</v>
      </c>
      <c r="K16" s="112">
        <v>0.0</v>
      </c>
      <c r="L16" s="112">
        <v>0.0</v>
      </c>
      <c r="M16" s="112">
        <v>0.0</v>
      </c>
      <c r="N16" s="112">
        <v>0.0</v>
      </c>
      <c r="O16" s="112">
        <v>1.0</v>
      </c>
      <c r="P16" s="112">
        <v>1.0</v>
      </c>
      <c r="Q16" s="112">
        <v>2.0</v>
      </c>
      <c r="AB16" s="110"/>
      <c r="AC16" s="110"/>
      <c r="AD16" s="110"/>
    </row>
    <row r="17">
      <c r="A17" s="106" t="s">
        <v>429</v>
      </c>
      <c r="B17" s="107">
        <v>1.0</v>
      </c>
      <c r="C17" s="107">
        <v>1.0</v>
      </c>
      <c r="D17" s="107">
        <v>1.0</v>
      </c>
      <c r="E17" s="107">
        <v>1.0</v>
      </c>
      <c r="F17" s="107">
        <v>1.0</v>
      </c>
      <c r="G17" s="107">
        <v>0.0</v>
      </c>
      <c r="H17" s="107">
        <v>0.0</v>
      </c>
      <c r="I17" s="107">
        <v>0.0</v>
      </c>
      <c r="J17" s="107">
        <v>1.0</v>
      </c>
      <c r="K17" s="107">
        <v>0.0</v>
      </c>
      <c r="L17" s="107">
        <v>0.0</v>
      </c>
      <c r="M17" s="107">
        <v>0.0</v>
      </c>
      <c r="N17" s="107">
        <v>0.0</v>
      </c>
      <c r="O17" s="107">
        <v>1.0</v>
      </c>
      <c r="P17" s="107">
        <v>1.0</v>
      </c>
      <c r="Q17" s="107">
        <v>0.0</v>
      </c>
      <c r="AB17" s="115"/>
      <c r="AC17" s="115"/>
      <c r="AD17" s="115"/>
    </row>
    <row r="18">
      <c r="A18" s="106" t="s">
        <v>430</v>
      </c>
      <c r="B18" s="112">
        <v>5.0</v>
      </c>
      <c r="C18" s="112">
        <v>3.0</v>
      </c>
      <c r="D18" s="112">
        <v>3.0</v>
      </c>
      <c r="E18" s="112">
        <v>3.0</v>
      </c>
      <c r="F18" s="112">
        <v>0.6</v>
      </c>
      <c r="G18" s="112">
        <v>0.0</v>
      </c>
      <c r="H18" s="112">
        <v>0.0</v>
      </c>
      <c r="I18" s="112">
        <v>1.0</v>
      </c>
      <c r="J18" s="112">
        <v>0.0</v>
      </c>
      <c r="K18" s="112">
        <v>0.0</v>
      </c>
      <c r="L18" s="112">
        <v>0.0</v>
      </c>
      <c r="M18" s="112">
        <v>0.0</v>
      </c>
      <c r="N18" s="112">
        <v>0.0</v>
      </c>
      <c r="O18" s="112">
        <v>0.6</v>
      </c>
      <c r="P18" s="112">
        <v>1.2</v>
      </c>
      <c r="Q18" s="112">
        <v>1.0</v>
      </c>
      <c r="AB18" s="110"/>
      <c r="AC18" s="100"/>
      <c r="AD18" s="100"/>
    </row>
    <row r="19">
      <c r="A19" s="106" t="s">
        <v>431</v>
      </c>
      <c r="B19" s="107">
        <v>2.0</v>
      </c>
      <c r="C19" s="107">
        <v>2.0</v>
      </c>
      <c r="D19" s="107">
        <v>0.0</v>
      </c>
      <c r="E19" s="107">
        <v>0.0</v>
      </c>
      <c r="F19" s="107">
        <v>0.0</v>
      </c>
      <c r="G19" s="107">
        <v>0.0</v>
      </c>
      <c r="H19" s="107">
        <v>0.0</v>
      </c>
      <c r="I19" s="107">
        <v>0.0</v>
      </c>
      <c r="J19" s="107">
        <v>1.0</v>
      </c>
      <c r="K19" s="107">
        <v>0.0</v>
      </c>
      <c r="L19" s="107">
        <v>0.0</v>
      </c>
      <c r="M19" s="107">
        <v>0.0</v>
      </c>
      <c r="N19" s="107">
        <v>0.0</v>
      </c>
      <c r="O19" s="107">
        <v>0.333</v>
      </c>
      <c r="P19" s="107">
        <v>0.0</v>
      </c>
      <c r="Q19" s="107">
        <v>1.0</v>
      </c>
      <c r="AB19" s="115"/>
      <c r="AD19" s="119"/>
    </row>
    <row r="20">
      <c r="A20" s="120" t="s">
        <v>99</v>
      </c>
      <c r="B20" s="112">
        <v>32.0</v>
      </c>
      <c r="C20" s="112">
        <v>25.0</v>
      </c>
      <c r="D20" s="112">
        <v>18.0</v>
      </c>
      <c r="E20" s="112">
        <v>20.0</v>
      </c>
      <c r="F20" s="112">
        <v>0.563</v>
      </c>
      <c r="G20" s="112">
        <v>2.0</v>
      </c>
      <c r="H20" s="112">
        <v>1.0</v>
      </c>
      <c r="I20" s="112">
        <v>3.0</v>
      </c>
      <c r="J20" s="112">
        <v>9.0</v>
      </c>
      <c r="K20" s="112">
        <v>1.0</v>
      </c>
      <c r="L20" s="112">
        <v>1.0</v>
      </c>
      <c r="M20" s="112">
        <v>0.0</v>
      </c>
      <c r="N20" s="112">
        <v>1.0</v>
      </c>
      <c r="O20" s="112">
        <v>0.651</v>
      </c>
      <c r="P20" s="112">
        <v>0.969</v>
      </c>
      <c r="Q20" s="112">
        <v>6.0</v>
      </c>
      <c r="AB20" s="110"/>
      <c r="AD20" s="119"/>
    </row>
    <row r="21">
      <c r="A21" s="118"/>
      <c r="AB21" s="100"/>
      <c r="AD21" s="119"/>
    </row>
    <row r="22">
      <c r="A22" s="98" t="s">
        <v>84</v>
      </c>
      <c r="Q22" s="99"/>
      <c r="AD22" s="119"/>
    </row>
    <row r="23">
      <c r="A23" s="101" t="s">
        <v>87</v>
      </c>
      <c r="B23" s="102" t="s">
        <v>3</v>
      </c>
      <c r="C23" s="102" t="s">
        <v>63</v>
      </c>
      <c r="D23" s="102" t="s">
        <v>62</v>
      </c>
      <c r="E23" s="102" t="s">
        <v>6</v>
      </c>
      <c r="F23" s="102" t="s">
        <v>18</v>
      </c>
      <c r="G23" s="102" t="s">
        <v>8</v>
      </c>
      <c r="H23" s="102" t="s">
        <v>9</v>
      </c>
      <c r="I23" s="102" t="s">
        <v>10</v>
      </c>
      <c r="J23" s="102" t="s">
        <v>12</v>
      </c>
      <c r="K23" s="102" t="s">
        <v>88</v>
      </c>
      <c r="L23" s="102" t="s">
        <v>15</v>
      </c>
      <c r="M23" s="102" t="s">
        <v>16</v>
      </c>
      <c r="N23" s="102" t="s">
        <v>14</v>
      </c>
      <c r="O23" s="102" t="s">
        <v>19</v>
      </c>
      <c r="P23" s="102" t="s">
        <v>20</v>
      </c>
      <c r="Q23" s="102" t="s">
        <v>11</v>
      </c>
      <c r="R23" s="101" t="s">
        <v>89</v>
      </c>
      <c r="S23" s="102" t="s">
        <v>61</v>
      </c>
      <c r="T23" s="102" t="s">
        <v>62</v>
      </c>
      <c r="U23" s="102" t="s">
        <v>63</v>
      </c>
      <c r="V23" s="102" t="s">
        <v>64</v>
      </c>
      <c r="W23" s="102" t="s">
        <v>12</v>
      </c>
      <c r="X23" s="102" t="s">
        <v>88</v>
      </c>
      <c r="Y23" s="102" t="s">
        <v>10</v>
      </c>
      <c r="Z23" s="102" t="s">
        <v>70</v>
      </c>
      <c r="AA23" s="103"/>
      <c r="AB23" s="104">
        <v>1.0</v>
      </c>
      <c r="AD23" s="119"/>
    </row>
    <row r="24">
      <c r="A24" s="106" t="s">
        <v>432</v>
      </c>
      <c r="B24" s="107">
        <v>3.0</v>
      </c>
      <c r="C24" s="107">
        <v>1.0</v>
      </c>
      <c r="D24" s="107">
        <v>2.0</v>
      </c>
      <c r="E24" s="107">
        <v>2.0</v>
      </c>
      <c r="F24" s="107">
        <v>0.667</v>
      </c>
      <c r="G24" s="107">
        <v>0.0</v>
      </c>
      <c r="H24" s="107">
        <v>1.0</v>
      </c>
      <c r="I24" s="107">
        <v>0.0</v>
      </c>
      <c r="J24" s="107">
        <v>0.0</v>
      </c>
      <c r="K24" s="107">
        <v>0.0</v>
      </c>
      <c r="L24" s="107">
        <v>0.0</v>
      </c>
      <c r="M24" s="107">
        <v>0.0</v>
      </c>
      <c r="N24" s="107">
        <v>0.0</v>
      </c>
      <c r="O24" s="107">
        <v>0.667</v>
      </c>
      <c r="P24" s="107">
        <v>1.333</v>
      </c>
      <c r="Q24" s="107">
        <v>1.0</v>
      </c>
      <c r="R24" s="106" t="s">
        <v>433</v>
      </c>
      <c r="S24" s="107">
        <v>3.0</v>
      </c>
      <c r="T24" s="107">
        <v>2.0</v>
      </c>
      <c r="U24" s="107">
        <v>3.0</v>
      </c>
      <c r="V24" s="107">
        <v>2.0</v>
      </c>
      <c r="W24" s="107">
        <v>2.0</v>
      </c>
      <c r="X24" s="107">
        <v>3.0</v>
      </c>
      <c r="Y24" s="107">
        <v>0.0</v>
      </c>
      <c r="Z24" s="107">
        <v>4.667</v>
      </c>
      <c r="AA24" s="109"/>
      <c r="AB24" s="110">
        <v>2.0</v>
      </c>
      <c r="AC24" s="100">
        <v>1.0</v>
      </c>
      <c r="AD24" s="100" t="s">
        <v>39</v>
      </c>
    </row>
    <row r="25">
      <c r="A25" s="106" t="s">
        <v>434</v>
      </c>
      <c r="B25" s="112">
        <v>2.0</v>
      </c>
      <c r="C25" s="112">
        <v>1.0</v>
      </c>
      <c r="D25" s="112">
        <v>1.0</v>
      </c>
      <c r="E25" s="112">
        <v>2.0</v>
      </c>
      <c r="F25" s="112">
        <v>0.5</v>
      </c>
      <c r="G25" s="112">
        <v>0.0</v>
      </c>
      <c r="H25" s="112">
        <v>0.0</v>
      </c>
      <c r="I25" s="112">
        <v>1.0</v>
      </c>
      <c r="J25" s="112">
        <v>1.0</v>
      </c>
      <c r="K25" s="112">
        <v>1.0</v>
      </c>
      <c r="L25" s="112">
        <v>0.0</v>
      </c>
      <c r="M25" s="112">
        <v>0.0</v>
      </c>
      <c r="N25" s="112">
        <v>0.0</v>
      </c>
      <c r="O25" s="112">
        <v>0.667</v>
      </c>
      <c r="P25" s="112">
        <v>2.0</v>
      </c>
      <c r="Q25" s="112">
        <v>0.0</v>
      </c>
      <c r="R25" s="106" t="s">
        <v>435</v>
      </c>
      <c r="S25" s="112">
        <v>4.0</v>
      </c>
      <c r="T25" s="112">
        <v>1.0</v>
      </c>
      <c r="U25" s="112">
        <v>1.0</v>
      </c>
      <c r="V25" s="112">
        <v>0.0</v>
      </c>
      <c r="W25" s="112">
        <v>3.0</v>
      </c>
      <c r="X25" s="112">
        <v>9.0</v>
      </c>
      <c r="Y25" s="112">
        <v>0.0</v>
      </c>
      <c r="Z25" s="112">
        <v>0.0</v>
      </c>
      <c r="AA25" s="114"/>
      <c r="AB25" s="115">
        <v>3.0</v>
      </c>
      <c r="AD25" s="119"/>
    </row>
    <row r="26">
      <c r="A26" s="106" t="s">
        <v>436</v>
      </c>
      <c r="B26" s="107">
        <v>1.0</v>
      </c>
      <c r="C26" s="107">
        <v>1.0</v>
      </c>
      <c r="D26" s="107">
        <v>0.0</v>
      </c>
      <c r="E26" s="107">
        <v>0.0</v>
      </c>
      <c r="F26" s="107">
        <v>0.0</v>
      </c>
      <c r="G26" s="107">
        <v>0.0</v>
      </c>
      <c r="H26" s="107">
        <v>0.0</v>
      </c>
      <c r="I26" s="107">
        <v>0.0</v>
      </c>
      <c r="J26" s="107">
        <v>2.0</v>
      </c>
      <c r="K26" s="107">
        <v>0.0</v>
      </c>
      <c r="L26" s="107">
        <v>0.0</v>
      </c>
      <c r="M26" s="107">
        <v>0.0</v>
      </c>
      <c r="N26" s="107">
        <v>0.0</v>
      </c>
      <c r="O26" s="107">
        <v>0.667</v>
      </c>
      <c r="P26" s="107">
        <v>0.0</v>
      </c>
      <c r="Q26" s="107">
        <v>0.0</v>
      </c>
      <c r="R26" s="117" t="s">
        <v>99</v>
      </c>
      <c r="S26" s="107">
        <v>7.0</v>
      </c>
      <c r="T26" s="107">
        <v>3.0</v>
      </c>
      <c r="U26" s="107">
        <v>4.0</v>
      </c>
      <c r="V26" s="107">
        <v>2.0</v>
      </c>
      <c r="W26" s="107">
        <v>5.0</v>
      </c>
      <c r="X26" s="107">
        <v>12.0</v>
      </c>
      <c r="Y26" s="107">
        <v>0.0</v>
      </c>
      <c r="Z26" s="107">
        <v>2.0</v>
      </c>
      <c r="AA26" s="109"/>
      <c r="AB26" s="110">
        <v>4.0</v>
      </c>
      <c r="AC26" s="100">
        <v>1.0</v>
      </c>
      <c r="AD26" s="100" t="s">
        <v>39</v>
      </c>
    </row>
    <row r="27">
      <c r="A27" s="106" t="s">
        <v>437</v>
      </c>
      <c r="B27" s="112">
        <v>2.0</v>
      </c>
      <c r="C27" s="112">
        <v>0.0</v>
      </c>
      <c r="D27" s="112">
        <v>0.0</v>
      </c>
      <c r="E27" s="112">
        <v>0.0</v>
      </c>
      <c r="F27" s="112">
        <v>0.0</v>
      </c>
      <c r="G27" s="112">
        <v>0.0</v>
      </c>
      <c r="H27" s="112">
        <v>0.0</v>
      </c>
      <c r="I27" s="112">
        <v>0.0</v>
      </c>
      <c r="J27" s="112">
        <v>1.0</v>
      </c>
      <c r="K27" s="112">
        <v>1.0</v>
      </c>
      <c r="L27" s="112">
        <v>0.0</v>
      </c>
      <c r="M27" s="112">
        <v>0.0</v>
      </c>
      <c r="N27" s="112">
        <v>0.0</v>
      </c>
      <c r="O27" s="112">
        <v>0.333</v>
      </c>
      <c r="P27" s="112">
        <v>0.0</v>
      </c>
      <c r="Q27" s="112">
        <v>0.0</v>
      </c>
      <c r="R27" s="118"/>
      <c r="AB27" s="115">
        <v>5.0</v>
      </c>
      <c r="AD27" s="119"/>
    </row>
    <row r="28">
      <c r="A28" s="106" t="s">
        <v>438</v>
      </c>
      <c r="B28" s="107">
        <v>4.0</v>
      </c>
      <c r="C28" s="107">
        <v>1.0</v>
      </c>
      <c r="D28" s="107">
        <v>1.0</v>
      </c>
      <c r="E28" s="107">
        <v>1.0</v>
      </c>
      <c r="F28" s="107">
        <v>0.25</v>
      </c>
      <c r="G28" s="107">
        <v>0.0</v>
      </c>
      <c r="H28" s="107">
        <v>0.0</v>
      </c>
      <c r="I28" s="107">
        <v>0.0</v>
      </c>
      <c r="J28" s="107">
        <v>0.0</v>
      </c>
      <c r="K28" s="107">
        <v>0.0</v>
      </c>
      <c r="L28" s="107">
        <v>0.0</v>
      </c>
      <c r="M28" s="107">
        <v>0.0</v>
      </c>
      <c r="N28" s="107">
        <v>0.0</v>
      </c>
      <c r="O28" s="107">
        <v>0.25</v>
      </c>
      <c r="P28" s="107">
        <v>0.25</v>
      </c>
      <c r="Q28" s="107">
        <v>0.0</v>
      </c>
      <c r="AB28" s="110">
        <v>6.0</v>
      </c>
      <c r="AC28" s="100">
        <v>2.0</v>
      </c>
      <c r="AD28" s="100" t="s">
        <v>50</v>
      </c>
    </row>
    <row r="29">
      <c r="A29" s="106" t="s">
        <v>439</v>
      </c>
      <c r="B29" s="112">
        <v>4.0</v>
      </c>
      <c r="C29" s="112">
        <v>2.0</v>
      </c>
      <c r="D29" s="112">
        <v>2.0</v>
      </c>
      <c r="E29" s="112">
        <v>2.0</v>
      </c>
      <c r="F29" s="112">
        <v>0.5</v>
      </c>
      <c r="G29" s="112">
        <v>1.0</v>
      </c>
      <c r="H29" s="112">
        <v>0.0</v>
      </c>
      <c r="I29" s="112">
        <v>0.0</v>
      </c>
      <c r="J29" s="112">
        <v>0.0</v>
      </c>
      <c r="K29" s="112">
        <v>1.0</v>
      </c>
      <c r="L29" s="112">
        <v>0.0</v>
      </c>
      <c r="M29" s="112">
        <v>0.0</v>
      </c>
      <c r="N29" s="112">
        <v>0.0</v>
      </c>
      <c r="O29" s="112">
        <v>0.5</v>
      </c>
      <c r="P29" s="112">
        <v>0.75</v>
      </c>
      <c r="Q29" s="112">
        <v>1.0</v>
      </c>
      <c r="AB29" s="100">
        <v>7.0</v>
      </c>
      <c r="AC29" s="104"/>
      <c r="AD29" s="105"/>
    </row>
    <row r="30">
      <c r="A30" s="106" t="s">
        <v>440</v>
      </c>
      <c r="B30" s="107">
        <v>2.0</v>
      </c>
      <c r="C30" s="107">
        <v>0.0</v>
      </c>
      <c r="D30" s="107">
        <v>0.0</v>
      </c>
      <c r="E30" s="107">
        <v>0.0</v>
      </c>
      <c r="F30" s="107">
        <v>0.0</v>
      </c>
      <c r="G30" s="107">
        <v>0.0</v>
      </c>
      <c r="H30" s="107">
        <v>0.0</v>
      </c>
      <c r="I30" s="107">
        <v>0.0</v>
      </c>
      <c r="J30" s="107">
        <v>0.0</v>
      </c>
      <c r="K30" s="107">
        <v>0.0</v>
      </c>
      <c r="L30" s="107">
        <v>0.0</v>
      </c>
      <c r="M30" s="107">
        <v>1.0</v>
      </c>
      <c r="N30" s="107">
        <v>0.0</v>
      </c>
      <c r="O30" s="107">
        <v>0.0</v>
      </c>
      <c r="P30" s="107">
        <v>0.0</v>
      </c>
      <c r="Q30" s="107">
        <v>0.0</v>
      </c>
      <c r="AB30" s="110"/>
      <c r="AC30" s="110"/>
      <c r="AD30" s="110"/>
    </row>
    <row r="31">
      <c r="A31" s="106" t="s">
        <v>441</v>
      </c>
      <c r="B31" s="112">
        <v>2.0</v>
      </c>
      <c r="C31" s="112">
        <v>1.0</v>
      </c>
      <c r="D31" s="112">
        <v>1.0</v>
      </c>
      <c r="E31" s="112">
        <v>0.0</v>
      </c>
      <c r="F31" s="112">
        <v>0.5</v>
      </c>
      <c r="G31" s="112">
        <v>0.0</v>
      </c>
      <c r="H31" s="112">
        <v>0.0</v>
      </c>
      <c r="I31" s="112">
        <v>0.0</v>
      </c>
      <c r="J31" s="112">
        <v>1.0</v>
      </c>
      <c r="K31" s="112">
        <v>0.0</v>
      </c>
      <c r="L31" s="112">
        <v>0.0</v>
      </c>
      <c r="M31" s="112">
        <v>0.0</v>
      </c>
      <c r="N31" s="112">
        <v>0.0</v>
      </c>
      <c r="O31" s="112">
        <v>0.667</v>
      </c>
      <c r="P31" s="112">
        <v>0.5</v>
      </c>
      <c r="Q31" s="112">
        <v>0.0</v>
      </c>
      <c r="AB31" s="115"/>
      <c r="AC31" s="115"/>
      <c r="AD31" s="115"/>
    </row>
    <row r="32">
      <c r="A32" s="106" t="s">
        <v>442</v>
      </c>
      <c r="B32" s="107">
        <v>3.0</v>
      </c>
      <c r="C32" s="107">
        <v>1.0</v>
      </c>
      <c r="D32" s="107">
        <v>1.0</v>
      </c>
      <c r="E32" s="107">
        <v>0.0</v>
      </c>
      <c r="F32" s="107">
        <v>0.333</v>
      </c>
      <c r="G32" s="107">
        <v>0.0</v>
      </c>
      <c r="H32" s="107">
        <v>0.0</v>
      </c>
      <c r="I32" s="107">
        <v>0.0</v>
      </c>
      <c r="J32" s="107">
        <v>0.0</v>
      </c>
      <c r="K32" s="107">
        <v>0.0</v>
      </c>
      <c r="L32" s="107">
        <v>0.0</v>
      </c>
      <c r="M32" s="107">
        <v>0.0</v>
      </c>
      <c r="N32" s="107">
        <v>0.0</v>
      </c>
      <c r="O32" s="107">
        <v>0.333</v>
      </c>
      <c r="P32" s="107">
        <v>0.333</v>
      </c>
      <c r="Q32" s="107">
        <v>0.0</v>
      </c>
      <c r="AB32" s="110"/>
      <c r="AC32" s="110"/>
      <c r="AD32" s="110"/>
    </row>
    <row r="33">
      <c r="A33" s="120" t="s">
        <v>99</v>
      </c>
      <c r="B33" s="112">
        <v>23.0</v>
      </c>
      <c r="C33" s="112">
        <v>8.0</v>
      </c>
      <c r="D33" s="112">
        <v>8.0</v>
      </c>
      <c r="E33" s="112">
        <v>7.0</v>
      </c>
      <c r="F33" s="112">
        <v>0.348</v>
      </c>
      <c r="G33" s="112">
        <v>1.0</v>
      </c>
      <c r="H33" s="112">
        <v>1.0</v>
      </c>
      <c r="I33" s="112">
        <v>1.0</v>
      </c>
      <c r="J33" s="112">
        <v>5.0</v>
      </c>
      <c r="K33" s="112">
        <v>3.0</v>
      </c>
      <c r="L33" s="112">
        <v>0.0</v>
      </c>
      <c r="M33" s="112">
        <v>1.0</v>
      </c>
      <c r="N33" s="112">
        <v>0.0</v>
      </c>
      <c r="O33" s="112">
        <v>0.464</v>
      </c>
      <c r="P33" s="112">
        <v>0.609</v>
      </c>
      <c r="Q33" s="112">
        <v>2.0</v>
      </c>
      <c r="AB33" s="115"/>
      <c r="AC33" s="100"/>
      <c r="AD33" s="100"/>
    </row>
    <row r="34">
      <c r="A34" s="118"/>
      <c r="AB34" s="110"/>
      <c r="AD34" s="119"/>
    </row>
    <row r="35">
      <c r="A35" s="98" t="s">
        <v>84</v>
      </c>
      <c r="Q35" s="99"/>
      <c r="AB35" s="104">
        <v>1.0</v>
      </c>
      <c r="AD35" s="119"/>
    </row>
    <row r="36">
      <c r="A36" s="101" t="s">
        <v>87</v>
      </c>
      <c r="B36" s="102" t="s">
        <v>3</v>
      </c>
      <c r="C36" s="102" t="s">
        <v>63</v>
      </c>
      <c r="D36" s="102" t="s">
        <v>62</v>
      </c>
      <c r="E36" s="102" t="s">
        <v>6</v>
      </c>
      <c r="F36" s="102" t="s">
        <v>18</v>
      </c>
      <c r="G36" s="102" t="s">
        <v>8</v>
      </c>
      <c r="H36" s="102" t="s">
        <v>9</v>
      </c>
      <c r="I36" s="102" t="s">
        <v>10</v>
      </c>
      <c r="J36" s="102" t="s">
        <v>12</v>
      </c>
      <c r="K36" s="102" t="s">
        <v>88</v>
      </c>
      <c r="L36" s="102" t="s">
        <v>15</v>
      </c>
      <c r="M36" s="102" t="s">
        <v>16</v>
      </c>
      <c r="N36" s="102" t="s">
        <v>14</v>
      </c>
      <c r="O36" s="102" t="s">
        <v>19</v>
      </c>
      <c r="P36" s="102" t="s">
        <v>20</v>
      </c>
      <c r="Q36" s="102" t="s">
        <v>11</v>
      </c>
      <c r="R36" s="101" t="s">
        <v>89</v>
      </c>
      <c r="S36" s="102" t="s">
        <v>61</v>
      </c>
      <c r="T36" s="102" t="s">
        <v>62</v>
      </c>
      <c r="U36" s="102" t="s">
        <v>63</v>
      </c>
      <c r="V36" s="102" t="s">
        <v>64</v>
      </c>
      <c r="W36" s="102" t="s">
        <v>12</v>
      </c>
      <c r="X36" s="102" t="s">
        <v>88</v>
      </c>
      <c r="Y36" s="102" t="s">
        <v>10</v>
      </c>
      <c r="Z36" s="102" t="s">
        <v>70</v>
      </c>
      <c r="AA36" s="103"/>
      <c r="AB36" s="110">
        <v>2.0</v>
      </c>
      <c r="AC36" s="100">
        <v>3.0</v>
      </c>
      <c r="AD36" s="100" t="s">
        <v>46</v>
      </c>
    </row>
    <row r="37">
      <c r="A37" s="106" t="s">
        <v>443</v>
      </c>
      <c r="B37" s="107">
        <v>2.0</v>
      </c>
      <c r="C37" s="107">
        <v>1.0</v>
      </c>
      <c r="D37" s="107">
        <v>1.0</v>
      </c>
      <c r="E37" s="107">
        <v>2.0</v>
      </c>
      <c r="F37" s="107">
        <v>0.5</v>
      </c>
      <c r="G37" s="107">
        <v>1.0</v>
      </c>
      <c r="H37" s="107">
        <v>0.0</v>
      </c>
      <c r="I37" s="107">
        <v>0.0</v>
      </c>
      <c r="J37" s="107">
        <v>1.0</v>
      </c>
      <c r="K37" s="107">
        <v>0.0</v>
      </c>
      <c r="L37" s="107">
        <v>0.0</v>
      </c>
      <c r="M37" s="107">
        <v>0.0</v>
      </c>
      <c r="N37" s="107">
        <v>0.0</v>
      </c>
      <c r="O37" s="107">
        <v>0.667</v>
      </c>
      <c r="P37" s="107">
        <v>1.0</v>
      </c>
      <c r="Q37" s="107">
        <v>0.0</v>
      </c>
      <c r="R37" s="106" t="s">
        <v>444</v>
      </c>
      <c r="S37" s="107">
        <v>1.2</v>
      </c>
      <c r="T37" s="107">
        <v>1.0</v>
      </c>
      <c r="U37" s="107">
        <v>1.0</v>
      </c>
      <c r="V37" s="107">
        <v>1.0</v>
      </c>
      <c r="W37" s="107">
        <v>1.0</v>
      </c>
      <c r="X37" s="107">
        <v>2.0</v>
      </c>
      <c r="Y37" s="107">
        <v>0.0</v>
      </c>
      <c r="Z37" s="107">
        <v>4.2</v>
      </c>
      <c r="AA37" s="109"/>
      <c r="AB37" s="115">
        <v>3.0</v>
      </c>
      <c r="AD37" s="119"/>
    </row>
    <row r="38">
      <c r="A38" s="106" t="s">
        <v>445</v>
      </c>
      <c r="B38" s="112">
        <v>3.0</v>
      </c>
      <c r="C38" s="112">
        <v>1.0</v>
      </c>
      <c r="D38" s="112">
        <v>0.0</v>
      </c>
      <c r="E38" s="112">
        <v>0.0</v>
      </c>
      <c r="F38" s="112">
        <v>0.0</v>
      </c>
      <c r="G38" s="112">
        <v>0.0</v>
      </c>
      <c r="H38" s="112">
        <v>0.0</v>
      </c>
      <c r="I38" s="112">
        <v>0.0</v>
      </c>
      <c r="J38" s="112">
        <v>0.0</v>
      </c>
      <c r="K38" s="112">
        <v>2.0</v>
      </c>
      <c r="L38" s="112">
        <v>0.0</v>
      </c>
      <c r="M38" s="112">
        <v>0.0</v>
      </c>
      <c r="N38" s="112">
        <v>1.0</v>
      </c>
      <c r="O38" s="112">
        <v>0.25</v>
      </c>
      <c r="P38" s="112">
        <v>0.0</v>
      </c>
      <c r="Q38" s="112">
        <v>0.0</v>
      </c>
      <c r="R38" s="106" t="s">
        <v>446</v>
      </c>
      <c r="S38" s="112">
        <v>4.0</v>
      </c>
      <c r="T38" s="112">
        <v>6.0</v>
      </c>
      <c r="U38" s="112">
        <v>5.0</v>
      </c>
      <c r="V38" s="112">
        <v>5.0</v>
      </c>
      <c r="W38" s="112">
        <v>3.0</v>
      </c>
      <c r="X38" s="112">
        <v>2.0</v>
      </c>
      <c r="Y38" s="112">
        <v>0.0</v>
      </c>
      <c r="Z38" s="112">
        <v>8.75</v>
      </c>
      <c r="AA38" s="114"/>
      <c r="AB38" s="110">
        <v>4.0</v>
      </c>
      <c r="AD38" s="119"/>
    </row>
    <row r="39">
      <c r="A39" s="106" t="s">
        <v>447</v>
      </c>
      <c r="B39" s="107">
        <v>1.0</v>
      </c>
      <c r="C39" s="107">
        <v>0.0</v>
      </c>
      <c r="D39" s="107">
        <v>0.0</v>
      </c>
      <c r="E39" s="107">
        <v>0.0</v>
      </c>
      <c r="F39" s="107">
        <v>0.0</v>
      </c>
      <c r="G39" s="107">
        <v>0.0</v>
      </c>
      <c r="H39" s="107">
        <v>0.0</v>
      </c>
      <c r="I39" s="107">
        <v>0.0</v>
      </c>
      <c r="J39" s="107">
        <v>0.0</v>
      </c>
      <c r="K39" s="107">
        <v>0.0</v>
      </c>
      <c r="L39" s="107">
        <v>0.0</v>
      </c>
      <c r="M39" s="107">
        <v>1.0</v>
      </c>
      <c r="N39" s="107">
        <v>0.0</v>
      </c>
      <c r="O39" s="107">
        <v>0.0</v>
      </c>
      <c r="P39" s="107">
        <v>0.0</v>
      </c>
      <c r="Q39" s="107">
        <v>0.0</v>
      </c>
      <c r="R39" s="106" t="s">
        <v>448</v>
      </c>
      <c r="S39" s="107">
        <v>1.1</v>
      </c>
      <c r="T39" s="107">
        <v>1.0</v>
      </c>
      <c r="U39" s="107">
        <v>0.0</v>
      </c>
      <c r="V39" s="107">
        <v>0.0</v>
      </c>
      <c r="W39" s="107">
        <v>0.0</v>
      </c>
      <c r="X39" s="107">
        <v>1.0</v>
      </c>
      <c r="Y39" s="107">
        <v>0.0</v>
      </c>
      <c r="Z39" s="107">
        <v>0.0</v>
      </c>
      <c r="AA39" s="109"/>
      <c r="AB39" s="115">
        <v>5.0</v>
      </c>
      <c r="AC39" s="100">
        <v>1.0</v>
      </c>
      <c r="AD39" s="100" t="s">
        <v>42</v>
      </c>
    </row>
    <row r="40">
      <c r="A40" s="106" t="s">
        <v>449</v>
      </c>
      <c r="B40" s="112">
        <v>2.0</v>
      </c>
      <c r="C40" s="112">
        <v>1.0</v>
      </c>
      <c r="D40" s="112">
        <v>0.0</v>
      </c>
      <c r="E40" s="112">
        <v>0.0</v>
      </c>
      <c r="F40" s="112">
        <v>0.0</v>
      </c>
      <c r="G40" s="112">
        <v>0.0</v>
      </c>
      <c r="H40" s="112">
        <v>0.0</v>
      </c>
      <c r="I40" s="112">
        <v>0.0</v>
      </c>
      <c r="J40" s="112">
        <v>1.0</v>
      </c>
      <c r="K40" s="112">
        <v>1.0</v>
      </c>
      <c r="L40" s="112">
        <v>0.0</v>
      </c>
      <c r="M40" s="112">
        <v>0.0</v>
      </c>
      <c r="N40" s="112">
        <v>0.0</v>
      </c>
      <c r="O40" s="112">
        <v>0.333</v>
      </c>
      <c r="P40" s="112">
        <v>0.0</v>
      </c>
      <c r="Q40" s="112">
        <v>1.0</v>
      </c>
      <c r="R40" s="120" t="s">
        <v>99</v>
      </c>
      <c r="S40" s="112">
        <v>7.0</v>
      </c>
      <c r="T40" s="112">
        <v>8.0</v>
      </c>
      <c r="U40" s="112">
        <v>6.0</v>
      </c>
      <c r="V40" s="112">
        <v>6.0</v>
      </c>
      <c r="W40" s="112">
        <v>4.0</v>
      </c>
      <c r="X40" s="112">
        <v>5.0</v>
      </c>
      <c r="Y40" s="112">
        <v>0.0</v>
      </c>
      <c r="Z40" s="112">
        <v>6.0</v>
      </c>
      <c r="AA40" s="114"/>
      <c r="AB40" s="110">
        <v>6.0</v>
      </c>
      <c r="AD40" s="119"/>
    </row>
    <row r="41">
      <c r="A41" s="106" t="s">
        <v>450</v>
      </c>
      <c r="B41" s="107">
        <v>3.0</v>
      </c>
      <c r="C41" s="107">
        <v>2.0</v>
      </c>
      <c r="D41" s="107">
        <v>2.0</v>
      </c>
      <c r="E41" s="107">
        <v>2.0</v>
      </c>
      <c r="F41" s="107">
        <v>0.667</v>
      </c>
      <c r="G41" s="107">
        <v>1.0</v>
      </c>
      <c r="H41" s="107">
        <v>0.0</v>
      </c>
      <c r="I41" s="107">
        <v>0.0</v>
      </c>
      <c r="J41" s="107">
        <v>1.0</v>
      </c>
      <c r="K41" s="107">
        <v>0.0</v>
      </c>
      <c r="L41" s="107">
        <v>0.0</v>
      </c>
      <c r="M41" s="107">
        <v>0.0</v>
      </c>
      <c r="N41" s="107">
        <v>0.0</v>
      </c>
      <c r="O41" s="107">
        <v>0.75</v>
      </c>
      <c r="P41" s="107">
        <v>1.0</v>
      </c>
      <c r="Q41" s="107">
        <v>2.0</v>
      </c>
      <c r="R41" s="118"/>
      <c r="AB41" s="100">
        <v>7.0</v>
      </c>
      <c r="AD41" s="119"/>
    </row>
    <row r="42">
      <c r="A42" s="106" t="s">
        <v>451</v>
      </c>
      <c r="B42" s="112">
        <v>3.0</v>
      </c>
      <c r="C42" s="112">
        <v>1.0</v>
      </c>
      <c r="D42" s="112">
        <v>1.0</v>
      </c>
      <c r="E42" s="112">
        <v>1.0</v>
      </c>
      <c r="F42" s="112">
        <v>0.333</v>
      </c>
      <c r="G42" s="112">
        <v>0.0</v>
      </c>
      <c r="H42" s="112">
        <v>0.0</v>
      </c>
      <c r="I42" s="112">
        <v>0.0</v>
      </c>
      <c r="J42" s="112">
        <v>1.0</v>
      </c>
      <c r="K42" s="112">
        <v>0.0</v>
      </c>
      <c r="L42" s="112">
        <v>0.0</v>
      </c>
      <c r="M42" s="112">
        <v>0.0</v>
      </c>
      <c r="N42" s="112">
        <v>0.0</v>
      </c>
      <c r="O42" s="112">
        <v>0.5</v>
      </c>
      <c r="P42" s="112">
        <v>0.333</v>
      </c>
      <c r="Q42" s="112">
        <v>1.0</v>
      </c>
      <c r="AB42" s="104"/>
      <c r="AC42" s="121"/>
      <c r="AD42" s="100"/>
    </row>
    <row r="43">
      <c r="A43" s="106" t="s">
        <v>452</v>
      </c>
      <c r="B43" s="107">
        <v>3.0</v>
      </c>
      <c r="C43" s="107">
        <v>1.0</v>
      </c>
      <c r="D43" s="107">
        <v>0.0</v>
      </c>
      <c r="E43" s="107">
        <v>0.0</v>
      </c>
      <c r="F43" s="107">
        <v>0.0</v>
      </c>
      <c r="G43" s="107">
        <v>0.0</v>
      </c>
      <c r="H43" s="107">
        <v>0.0</v>
      </c>
      <c r="I43" s="107">
        <v>0.0</v>
      </c>
      <c r="J43" s="107">
        <v>0.0</v>
      </c>
      <c r="K43" s="107">
        <v>0.0</v>
      </c>
      <c r="L43" s="107">
        <v>0.0</v>
      </c>
      <c r="M43" s="107">
        <v>0.0</v>
      </c>
      <c r="N43" s="107">
        <v>0.0</v>
      </c>
      <c r="O43" s="107">
        <v>0.0</v>
      </c>
      <c r="P43" s="107">
        <v>0.0</v>
      </c>
      <c r="Q43" s="107">
        <v>0.0</v>
      </c>
      <c r="AB43" s="110"/>
      <c r="AC43" s="121"/>
      <c r="AD43" s="100"/>
    </row>
    <row r="44">
      <c r="A44" s="106" t="s">
        <v>453</v>
      </c>
      <c r="B44" s="112">
        <v>1.0</v>
      </c>
      <c r="C44" s="112">
        <v>1.0</v>
      </c>
      <c r="D44" s="112">
        <v>1.0</v>
      </c>
      <c r="E44" s="112">
        <v>1.0</v>
      </c>
      <c r="F44" s="112">
        <v>1.0</v>
      </c>
      <c r="G44" s="112">
        <v>0.0</v>
      </c>
      <c r="H44" s="112">
        <v>0.0</v>
      </c>
      <c r="I44" s="112">
        <v>0.0</v>
      </c>
      <c r="J44" s="112">
        <v>0.0</v>
      </c>
      <c r="K44" s="112">
        <v>0.0</v>
      </c>
      <c r="L44" s="112">
        <v>0.0</v>
      </c>
      <c r="M44" s="112">
        <v>2.0</v>
      </c>
      <c r="N44" s="112">
        <v>0.0</v>
      </c>
      <c r="O44" s="112">
        <v>1.0</v>
      </c>
      <c r="P44" s="112">
        <v>1.0</v>
      </c>
      <c r="Q44" s="112">
        <v>0.0</v>
      </c>
      <c r="AB44" s="115"/>
      <c r="AC44" s="121"/>
      <c r="AD44" s="100"/>
    </row>
    <row r="45">
      <c r="A45" s="106" t="s">
        <v>454</v>
      </c>
      <c r="B45" s="107">
        <v>2.0</v>
      </c>
      <c r="C45" s="107">
        <v>0.0</v>
      </c>
      <c r="D45" s="107">
        <v>2.0</v>
      </c>
      <c r="E45" s="107">
        <v>1.0</v>
      </c>
      <c r="F45" s="107">
        <v>1.0</v>
      </c>
      <c r="G45" s="107">
        <v>0.0</v>
      </c>
      <c r="H45" s="107">
        <v>0.0</v>
      </c>
      <c r="I45" s="107">
        <v>0.0</v>
      </c>
      <c r="J45" s="107">
        <v>0.0</v>
      </c>
      <c r="K45" s="107">
        <v>0.0</v>
      </c>
      <c r="L45" s="107">
        <v>1.0</v>
      </c>
      <c r="M45" s="107">
        <v>0.0</v>
      </c>
      <c r="N45" s="107">
        <v>0.0</v>
      </c>
      <c r="O45" s="107">
        <v>0.667</v>
      </c>
      <c r="P45" s="107">
        <v>1.0</v>
      </c>
      <c r="Q45" s="107">
        <v>0.0</v>
      </c>
      <c r="AB45" s="110"/>
      <c r="AC45" s="122"/>
      <c r="AD45" s="119"/>
    </row>
    <row r="46">
      <c r="A46" s="120" t="s">
        <v>99</v>
      </c>
      <c r="B46" s="112">
        <v>20.0</v>
      </c>
      <c r="C46" s="112">
        <v>8.0</v>
      </c>
      <c r="D46" s="112">
        <v>7.0</v>
      </c>
      <c r="E46" s="112">
        <v>7.0</v>
      </c>
      <c r="F46" s="112">
        <v>0.35</v>
      </c>
      <c r="G46" s="112">
        <v>2.0</v>
      </c>
      <c r="H46" s="112">
        <v>0.0</v>
      </c>
      <c r="I46" s="112">
        <v>0.0</v>
      </c>
      <c r="J46" s="112">
        <v>4.0</v>
      </c>
      <c r="K46" s="112">
        <v>3.0</v>
      </c>
      <c r="L46" s="112">
        <v>1.0</v>
      </c>
      <c r="M46" s="112">
        <v>3.0</v>
      </c>
      <c r="N46" s="112">
        <v>1.0</v>
      </c>
      <c r="O46" s="112">
        <v>0.462</v>
      </c>
      <c r="P46" s="112">
        <v>0.45</v>
      </c>
      <c r="Q46" s="112">
        <v>4.0</v>
      </c>
      <c r="AB46" s="115"/>
      <c r="AC46" s="121"/>
      <c r="AD46" s="100"/>
    </row>
    <row r="47">
      <c r="A47" s="118"/>
      <c r="AB47" s="110"/>
      <c r="AC47" s="121"/>
      <c r="AD47" s="100"/>
    </row>
    <row r="48">
      <c r="A48" s="98" t="s">
        <v>84</v>
      </c>
      <c r="Q48" s="99"/>
      <c r="AB48" s="100"/>
      <c r="AD48" s="119"/>
    </row>
    <row r="49">
      <c r="A49" s="101" t="s">
        <v>87</v>
      </c>
      <c r="B49" s="102" t="s">
        <v>3</v>
      </c>
      <c r="C49" s="102" t="s">
        <v>63</v>
      </c>
      <c r="D49" s="102" t="s">
        <v>62</v>
      </c>
      <c r="E49" s="102" t="s">
        <v>6</v>
      </c>
      <c r="F49" s="102" t="s">
        <v>18</v>
      </c>
      <c r="G49" s="102" t="s">
        <v>8</v>
      </c>
      <c r="H49" s="102" t="s">
        <v>9</v>
      </c>
      <c r="I49" s="102" t="s">
        <v>10</v>
      </c>
      <c r="J49" s="102" t="s">
        <v>12</v>
      </c>
      <c r="K49" s="102" t="s">
        <v>88</v>
      </c>
      <c r="L49" s="102" t="s">
        <v>15</v>
      </c>
      <c r="M49" s="102" t="s">
        <v>16</v>
      </c>
      <c r="N49" s="102" t="s">
        <v>14</v>
      </c>
      <c r="O49" s="102" t="s">
        <v>19</v>
      </c>
      <c r="P49" s="102" t="s">
        <v>20</v>
      </c>
      <c r="Q49" s="102" t="s">
        <v>11</v>
      </c>
      <c r="R49" s="101" t="s">
        <v>89</v>
      </c>
      <c r="S49" s="102" t="s">
        <v>61</v>
      </c>
      <c r="T49" s="102" t="s">
        <v>62</v>
      </c>
      <c r="U49" s="102" t="s">
        <v>63</v>
      </c>
      <c r="V49" s="102" t="s">
        <v>64</v>
      </c>
      <c r="W49" s="102" t="s">
        <v>12</v>
      </c>
      <c r="X49" s="102" t="s">
        <v>88</v>
      </c>
      <c r="Y49" s="102" t="s">
        <v>10</v>
      </c>
      <c r="Z49" s="102" t="s">
        <v>70</v>
      </c>
      <c r="AA49" s="103"/>
      <c r="AB49" s="128">
        <v>1.0</v>
      </c>
      <c r="AD49" s="119"/>
    </row>
    <row r="50">
      <c r="A50" s="106" t="s">
        <v>455</v>
      </c>
      <c r="B50" s="107">
        <v>3.0</v>
      </c>
      <c r="C50" s="107">
        <v>0.0</v>
      </c>
      <c r="D50" s="107">
        <v>1.0</v>
      </c>
      <c r="E50" s="107">
        <v>1.0</v>
      </c>
      <c r="F50" s="107">
        <v>0.333</v>
      </c>
      <c r="G50" s="107">
        <v>0.0</v>
      </c>
      <c r="H50" s="107">
        <v>0.0</v>
      </c>
      <c r="I50" s="107">
        <v>0.0</v>
      </c>
      <c r="J50" s="107">
        <v>0.0</v>
      </c>
      <c r="K50" s="107">
        <v>1.0</v>
      </c>
      <c r="L50" s="107">
        <v>0.0</v>
      </c>
      <c r="M50" s="107">
        <v>0.0</v>
      </c>
      <c r="N50" s="107">
        <v>0.0</v>
      </c>
      <c r="O50" s="107">
        <v>0.333</v>
      </c>
      <c r="P50" s="107">
        <v>0.333</v>
      </c>
      <c r="Q50" s="107">
        <v>1.0</v>
      </c>
      <c r="R50" s="106" t="s">
        <v>456</v>
      </c>
      <c r="S50" s="107">
        <v>1.0</v>
      </c>
      <c r="T50" s="107">
        <v>0.0</v>
      </c>
      <c r="U50" s="107">
        <v>0.0</v>
      </c>
      <c r="V50" s="107">
        <v>0.0</v>
      </c>
      <c r="W50" s="107">
        <v>1.0</v>
      </c>
      <c r="X50" s="107">
        <v>1.0</v>
      </c>
      <c r="Y50" s="107">
        <v>0.0</v>
      </c>
      <c r="Z50" s="107">
        <v>0.0</v>
      </c>
      <c r="AA50" s="109"/>
      <c r="AB50" s="128">
        <v>2.0</v>
      </c>
      <c r="AD50" s="119"/>
    </row>
    <row r="51">
      <c r="A51" s="106" t="s">
        <v>457</v>
      </c>
      <c r="B51" s="112">
        <v>3.0</v>
      </c>
      <c r="C51" s="112">
        <v>1.0</v>
      </c>
      <c r="D51" s="112">
        <v>1.0</v>
      </c>
      <c r="E51" s="112">
        <v>0.0</v>
      </c>
      <c r="F51" s="112">
        <v>0.333</v>
      </c>
      <c r="G51" s="112">
        <v>0.0</v>
      </c>
      <c r="H51" s="112">
        <v>0.0</v>
      </c>
      <c r="I51" s="112">
        <v>0.0</v>
      </c>
      <c r="J51" s="112">
        <v>0.0</v>
      </c>
      <c r="K51" s="112">
        <v>0.0</v>
      </c>
      <c r="L51" s="112">
        <v>0.0</v>
      </c>
      <c r="M51" s="112">
        <v>0.0</v>
      </c>
      <c r="N51" s="112">
        <v>0.0</v>
      </c>
      <c r="O51" s="112">
        <v>0.333</v>
      </c>
      <c r="P51" s="112">
        <v>0.333</v>
      </c>
      <c r="Q51" s="112">
        <v>1.0</v>
      </c>
      <c r="R51" s="106" t="s">
        <v>458</v>
      </c>
      <c r="S51" s="112">
        <v>6.0</v>
      </c>
      <c r="T51" s="112">
        <v>8.0</v>
      </c>
      <c r="U51" s="112">
        <v>3.0</v>
      </c>
      <c r="V51" s="112">
        <v>3.0</v>
      </c>
      <c r="W51" s="112">
        <v>2.0</v>
      </c>
      <c r="X51" s="112">
        <v>9.0</v>
      </c>
      <c r="Y51" s="112">
        <v>0.0</v>
      </c>
      <c r="Z51" s="112">
        <v>3.5</v>
      </c>
      <c r="AA51" s="114"/>
      <c r="AB51" s="128">
        <v>3.0</v>
      </c>
      <c r="AD51" s="119"/>
    </row>
    <row r="52">
      <c r="A52" s="106" t="s">
        <v>459</v>
      </c>
      <c r="B52" s="107">
        <v>1.0</v>
      </c>
      <c r="C52" s="107">
        <v>0.0</v>
      </c>
      <c r="D52" s="107">
        <v>0.0</v>
      </c>
      <c r="E52" s="107">
        <v>1.0</v>
      </c>
      <c r="F52" s="107">
        <v>0.0</v>
      </c>
      <c r="G52" s="107">
        <v>0.0</v>
      </c>
      <c r="H52" s="107">
        <v>0.0</v>
      </c>
      <c r="I52" s="107">
        <v>0.0</v>
      </c>
      <c r="J52" s="107">
        <v>0.0</v>
      </c>
      <c r="K52" s="107">
        <v>0.0</v>
      </c>
      <c r="L52" s="107">
        <v>1.0</v>
      </c>
      <c r="M52" s="107">
        <v>0.0</v>
      </c>
      <c r="N52" s="107">
        <v>0.0</v>
      </c>
      <c r="O52" s="107">
        <v>0.0</v>
      </c>
      <c r="P52" s="107">
        <v>0.0</v>
      </c>
      <c r="Q52" s="107">
        <v>0.0</v>
      </c>
      <c r="R52" s="117" t="s">
        <v>99</v>
      </c>
      <c r="S52" s="107">
        <v>7.0</v>
      </c>
      <c r="T52" s="107">
        <v>8.0</v>
      </c>
      <c r="U52" s="107">
        <v>3.0</v>
      </c>
      <c r="V52" s="107">
        <v>3.0</v>
      </c>
      <c r="W52" s="107">
        <v>3.0</v>
      </c>
      <c r="X52" s="107">
        <v>10.0</v>
      </c>
      <c r="Y52" s="107">
        <v>0.0</v>
      </c>
      <c r="Z52" s="107">
        <v>3.0</v>
      </c>
      <c r="AA52" s="109"/>
      <c r="AB52" s="128">
        <v>4.0</v>
      </c>
      <c r="AC52" s="128">
        <v>1.0</v>
      </c>
      <c r="AD52" s="128" t="s">
        <v>46</v>
      </c>
    </row>
    <row r="53">
      <c r="A53" s="106" t="s">
        <v>460</v>
      </c>
      <c r="B53" s="112">
        <v>3.0</v>
      </c>
      <c r="C53" s="112">
        <v>0.0</v>
      </c>
      <c r="D53" s="112">
        <v>0.0</v>
      </c>
      <c r="E53" s="112">
        <v>0.0</v>
      </c>
      <c r="F53" s="112">
        <v>0.0</v>
      </c>
      <c r="G53" s="112">
        <v>0.0</v>
      </c>
      <c r="H53" s="112">
        <v>0.0</v>
      </c>
      <c r="I53" s="112">
        <v>0.0</v>
      </c>
      <c r="J53" s="112">
        <v>0.0</v>
      </c>
      <c r="K53" s="112">
        <v>1.0</v>
      </c>
      <c r="L53" s="112">
        <v>0.0</v>
      </c>
      <c r="M53" s="112">
        <v>0.0</v>
      </c>
      <c r="N53" s="112">
        <v>0.0</v>
      </c>
      <c r="O53" s="112">
        <v>0.0</v>
      </c>
      <c r="P53" s="112">
        <v>0.0</v>
      </c>
      <c r="Q53" s="112">
        <v>0.0</v>
      </c>
      <c r="R53" s="118"/>
      <c r="AB53" s="128">
        <v>5.0</v>
      </c>
      <c r="AC53" s="128">
        <v>1.0</v>
      </c>
      <c r="AD53" s="128" t="s">
        <v>49</v>
      </c>
    </row>
    <row r="54">
      <c r="A54" s="106" t="s">
        <v>461</v>
      </c>
      <c r="B54" s="107">
        <v>3.0</v>
      </c>
      <c r="C54" s="107">
        <v>0.0</v>
      </c>
      <c r="D54" s="107">
        <v>0.0</v>
      </c>
      <c r="E54" s="107">
        <v>0.0</v>
      </c>
      <c r="F54" s="107">
        <v>0.0</v>
      </c>
      <c r="G54" s="107">
        <v>0.0</v>
      </c>
      <c r="H54" s="107">
        <v>0.0</v>
      </c>
      <c r="I54" s="107">
        <v>0.0</v>
      </c>
      <c r="J54" s="107">
        <v>0.0</v>
      </c>
      <c r="K54" s="107">
        <v>2.0</v>
      </c>
      <c r="L54" s="107">
        <v>0.0</v>
      </c>
      <c r="M54" s="107">
        <v>0.0</v>
      </c>
      <c r="N54" s="107">
        <v>0.0</v>
      </c>
      <c r="O54" s="107">
        <v>0.0</v>
      </c>
      <c r="P54" s="107">
        <v>0.0</v>
      </c>
      <c r="Q54" s="107">
        <v>0.0</v>
      </c>
      <c r="AB54" s="128">
        <v>6.0</v>
      </c>
      <c r="AD54" s="119"/>
    </row>
    <row r="55">
      <c r="A55" s="106" t="s">
        <v>462</v>
      </c>
      <c r="B55" s="112">
        <v>3.0</v>
      </c>
      <c r="C55" s="112">
        <v>0.0</v>
      </c>
      <c r="D55" s="112">
        <v>0.0</v>
      </c>
      <c r="E55" s="112">
        <v>0.0</v>
      </c>
      <c r="F55" s="112">
        <v>0.0</v>
      </c>
      <c r="G55" s="112">
        <v>0.0</v>
      </c>
      <c r="H55" s="112">
        <v>0.0</v>
      </c>
      <c r="I55" s="112">
        <v>0.0</v>
      </c>
      <c r="J55" s="112">
        <v>0.0</v>
      </c>
      <c r="K55" s="112">
        <v>2.0</v>
      </c>
      <c r="L55" s="112">
        <v>0.0</v>
      </c>
      <c r="M55" s="112">
        <v>0.0</v>
      </c>
      <c r="N55" s="112">
        <v>0.0</v>
      </c>
      <c r="O55" s="112">
        <v>0.0</v>
      </c>
      <c r="P55" s="112">
        <v>0.0</v>
      </c>
      <c r="Q55" s="112">
        <v>0.0</v>
      </c>
      <c r="AD55" s="119"/>
    </row>
    <row r="56">
      <c r="A56" s="106" t="s">
        <v>463</v>
      </c>
      <c r="B56" s="107">
        <v>1.0</v>
      </c>
      <c r="C56" s="107">
        <v>0.0</v>
      </c>
      <c r="D56" s="107">
        <v>0.0</v>
      </c>
      <c r="E56" s="107">
        <v>0.0</v>
      </c>
      <c r="F56" s="107">
        <v>0.0</v>
      </c>
      <c r="G56" s="107">
        <v>0.0</v>
      </c>
      <c r="H56" s="107">
        <v>0.0</v>
      </c>
      <c r="I56" s="107">
        <v>0.0</v>
      </c>
      <c r="J56" s="107">
        <v>0.0</v>
      </c>
      <c r="K56" s="107">
        <v>1.0</v>
      </c>
      <c r="L56" s="107">
        <v>0.0</v>
      </c>
      <c r="M56" s="107">
        <v>1.0</v>
      </c>
      <c r="N56" s="107">
        <v>0.0</v>
      </c>
      <c r="O56" s="107">
        <v>0.0</v>
      </c>
      <c r="P56" s="107">
        <v>0.0</v>
      </c>
      <c r="Q56" s="107">
        <v>0.0</v>
      </c>
      <c r="AB56" s="104"/>
      <c r="AC56" s="100"/>
      <c r="AD56" s="119"/>
    </row>
    <row r="57">
      <c r="A57" s="106" t="s">
        <v>464</v>
      </c>
      <c r="B57" s="112">
        <v>3.0</v>
      </c>
      <c r="C57" s="112">
        <v>0.0</v>
      </c>
      <c r="D57" s="112">
        <v>1.0</v>
      </c>
      <c r="E57" s="112">
        <v>0.0</v>
      </c>
      <c r="F57" s="112">
        <v>0.333</v>
      </c>
      <c r="G57" s="112">
        <v>0.0</v>
      </c>
      <c r="H57" s="112">
        <v>0.0</v>
      </c>
      <c r="I57" s="112">
        <v>0.0</v>
      </c>
      <c r="J57" s="112">
        <v>0.0</v>
      </c>
      <c r="K57" s="112">
        <v>1.0</v>
      </c>
      <c r="L57" s="112">
        <v>0.0</v>
      </c>
      <c r="M57" s="112">
        <v>0.0</v>
      </c>
      <c r="N57" s="112">
        <v>0.0</v>
      </c>
      <c r="O57" s="112">
        <v>0.333</v>
      </c>
      <c r="P57" s="112">
        <v>0.333</v>
      </c>
      <c r="Q57" s="112">
        <v>0.0</v>
      </c>
      <c r="AB57" s="110"/>
      <c r="AC57" s="100"/>
      <c r="AD57" s="119"/>
    </row>
    <row r="58">
      <c r="A58" s="106" t="s">
        <v>465</v>
      </c>
      <c r="B58" s="107">
        <v>3.0</v>
      </c>
      <c r="C58" s="107">
        <v>1.0</v>
      </c>
      <c r="D58" s="107">
        <v>0.0</v>
      </c>
      <c r="E58" s="107">
        <v>0.0</v>
      </c>
      <c r="F58" s="107">
        <v>0.0</v>
      </c>
      <c r="G58" s="107">
        <v>0.0</v>
      </c>
      <c r="H58" s="107">
        <v>0.0</v>
      </c>
      <c r="I58" s="107">
        <v>0.0</v>
      </c>
      <c r="J58" s="107">
        <v>0.0</v>
      </c>
      <c r="K58" s="107">
        <v>1.0</v>
      </c>
      <c r="L58" s="107">
        <v>0.0</v>
      </c>
      <c r="M58" s="107">
        <v>0.0</v>
      </c>
      <c r="N58" s="107">
        <v>0.0</v>
      </c>
      <c r="O58" s="107">
        <v>0.0</v>
      </c>
      <c r="P58" s="107">
        <v>0.0</v>
      </c>
      <c r="Q58" s="107">
        <v>0.0</v>
      </c>
      <c r="AB58" s="115"/>
      <c r="AC58" s="100"/>
      <c r="AD58" s="100"/>
    </row>
    <row r="59">
      <c r="A59" s="120" t="s">
        <v>99</v>
      </c>
      <c r="B59" s="112">
        <v>23.0</v>
      </c>
      <c r="C59" s="112">
        <v>2.0</v>
      </c>
      <c r="D59" s="112">
        <v>3.0</v>
      </c>
      <c r="E59" s="112">
        <v>2.0</v>
      </c>
      <c r="F59" s="112">
        <v>0.13</v>
      </c>
      <c r="G59" s="112">
        <v>0.0</v>
      </c>
      <c r="H59" s="112">
        <v>0.0</v>
      </c>
      <c r="I59" s="112">
        <v>0.0</v>
      </c>
      <c r="J59" s="112">
        <v>0.0</v>
      </c>
      <c r="K59" s="112">
        <v>9.0</v>
      </c>
      <c r="L59" s="112">
        <v>1.0</v>
      </c>
      <c r="M59" s="112">
        <v>1.0</v>
      </c>
      <c r="N59" s="112">
        <v>0.0</v>
      </c>
      <c r="O59" s="112">
        <v>0.125</v>
      </c>
      <c r="P59" s="112">
        <v>0.13</v>
      </c>
      <c r="Q59" s="112">
        <v>2.0</v>
      </c>
      <c r="AB59" s="110"/>
      <c r="AC59" s="100"/>
      <c r="AD59" s="119"/>
    </row>
    <row r="60">
      <c r="A60" s="118"/>
      <c r="AB60" s="115"/>
      <c r="AC60" s="100"/>
      <c r="AD60" s="119"/>
    </row>
    <row r="61">
      <c r="AB61" s="110"/>
      <c r="AC61" s="100"/>
      <c r="AD61" s="100"/>
    </row>
    <row r="62">
      <c r="AB62" s="100"/>
      <c r="AD62" s="119"/>
    </row>
    <row r="63">
      <c r="AD63" s="119"/>
    </row>
    <row r="64">
      <c r="AD64" s="119"/>
    </row>
    <row r="65">
      <c r="AD65" s="119"/>
    </row>
    <row r="66">
      <c r="AD66" s="119"/>
    </row>
    <row r="67">
      <c r="AD67" s="119"/>
    </row>
    <row r="68">
      <c r="AD68" s="119"/>
    </row>
    <row r="69">
      <c r="AB69" s="104"/>
      <c r="AC69" s="100"/>
      <c r="AD69" s="100"/>
    </row>
    <row r="70">
      <c r="AB70" s="110"/>
      <c r="AC70" s="100"/>
      <c r="AD70" s="100"/>
    </row>
    <row r="71">
      <c r="AB71" s="115"/>
      <c r="AC71" s="100"/>
      <c r="AD71" s="100"/>
    </row>
    <row r="72">
      <c r="AB72" s="110"/>
      <c r="AC72" s="100"/>
      <c r="AD72" s="100"/>
    </row>
    <row r="73">
      <c r="AB73" s="115"/>
      <c r="AC73" s="100"/>
      <c r="AD73" s="119"/>
    </row>
    <row r="74">
      <c r="AB74" s="110"/>
      <c r="AC74" s="100"/>
      <c r="AD74" s="119"/>
    </row>
    <row r="75">
      <c r="AD75" s="119"/>
    </row>
    <row r="76">
      <c r="AD76" s="119"/>
    </row>
    <row r="77">
      <c r="AD77" s="119"/>
    </row>
    <row r="78">
      <c r="AD78" s="119"/>
    </row>
    <row r="79">
      <c r="AD79" s="119"/>
    </row>
    <row r="80">
      <c r="AD80" s="119"/>
    </row>
    <row r="81">
      <c r="AD81" s="119"/>
    </row>
    <row r="82">
      <c r="AD82" s="119"/>
    </row>
    <row r="83">
      <c r="AD83" s="119"/>
    </row>
    <row r="84">
      <c r="AD84" s="119"/>
    </row>
    <row r="85">
      <c r="AD85" s="119"/>
    </row>
    <row r="86">
      <c r="AD86" s="119"/>
    </row>
    <row r="87">
      <c r="AD87" s="119"/>
    </row>
    <row r="88">
      <c r="AB88" s="104"/>
      <c r="AC88" s="100"/>
      <c r="AD88" s="100"/>
    </row>
    <row r="89">
      <c r="AB89" s="110"/>
      <c r="AC89" s="100"/>
      <c r="AD89" s="100"/>
    </row>
    <row r="90">
      <c r="AB90" s="115"/>
      <c r="AC90" s="100"/>
      <c r="AD90" s="100"/>
    </row>
    <row r="91">
      <c r="AB91" s="110"/>
      <c r="AC91" s="100"/>
      <c r="AD91" s="100"/>
    </row>
    <row r="92">
      <c r="AB92" s="115"/>
      <c r="AC92" s="100"/>
      <c r="AD92" s="100"/>
    </row>
    <row r="93">
      <c r="AB93" s="110"/>
      <c r="AC93" s="100"/>
      <c r="AD93" s="100"/>
    </row>
    <row r="94">
      <c r="AB94" s="100"/>
      <c r="AD94" s="119"/>
    </row>
    <row r="95">
      <c r="AD95" s="119"/>
    </row>
    <row r="96">
      <c r="AD96" s="119"/>
    </row>
    <row r="97">
      <c r="AD97" s="119"/>
    </row>
    <row r="98">
      <c r="AD98" s="119"/>
    </row>
    <row r="99">
      <c r="AD99" s="119"/>
    </row>
    <row r="100">
      <c r="AD100" s="119"/>
    </row>
    <row r="101">
      <c r="AB101" s="104"/>
      <c r="AD101" s="119"/>
    </row>
    <row r="102">
      <c r="AB102" s="110"/>
      <c r="AC102" s="100"/>
      <c r="AD102" s="100"/>
    </row>
    <row r="103">
      <c r="AB103" s="115"/>
      <c r="AD103" s="119"/>
    </row>
    <row r="104">
      <c r="AB104" s="110"/>
      <c r="AC104" s="100"/>
      <c r="AD104" s="100"/>
    </row>
    <row r="105">
      <c r="AB105" s="115"/>
      <c r="AC105" s="100"/>
      <c r="AD105" s="100"/>
    </row>
    <row r="106">
      <c r="AB106" s="110"/>
      <c r="AC106" s="100"/>
      <c r="AD106" s="100"/>
    </row>
    <row r="107">
      <c r="AB107" s="100"/>
      <c r="AC107" s="100"/>
      <c r="AD107" s="100"/>
    </row>
    <row r="108">
      <c r="AD108" s="119"/>
    </row>
    <row r="109">
      <c r="AD109" s="119"/>
    </row>
    <row r="110">
      <c r="AD110" s="119"/>
    </row>
    <row r="111">
      <c r="AD111" s="119"/>
    </row>
    <row r="112">
      <c r="AD112" s="119"/>
    </row>
    <row r="113">
      <c r="AD113" s="119"/>
    </row>
    <row r="114">
      <c r="AD114" s="119"/>
    </row>
    <row r="115">
      <c r="AD115" s="119"/>
    </row>
    <row r="116">
      <c r="AD116" s="119"/>
    </row>
    <row r="117">
      <c r="AB117" s="104"/>
      <c r="AC117" s="100"/>
      <c r="AD117" s="100"/>
    </row>
    <row r="118">
      <c r="AB118" s="110"/>
      <c r="AC118" s="100"/>
      <c r="AD118" s="119"/>
    </row>
    <row r="119">
      <c r="AB119" s="115"/>
      <c r="AD119" s="119"/>
    </row>
    <row r="120">
      <c r="AB120" s="110"/>
      <c r="AD120" s="119"/>
    </row>
    <row r="121">
      <c r="AB121" s="115"/>
      <c r="AC121" s="100"/>
      <c r="AD121" s="100"/>
    </row>
    <row r="122">
      <c r="AB122" s="110"/>
      <c r="AC122" s="100"/>
      <c r="AD122" s="100"/>
    </row>
    <row r="123">
      <c r="AB123" s="100"/>
      <c r="AC123" s="100"/>
      <c r="AD123" s="100"/>
    </row>
    <row r="124">
      <c r="AD124" s="119"/>
    </row>
    <row r="125">
      <c r="AD125" s="119"/>
    </row>
    <row r="126">
      <c r="AD126" s="119"/>
    </row>
    <row r="127">
      <c r="AD127" s="119"/>
    </row>
    <row r="128">
      <c r="AD128" s="119"/>
    </row>
    <row r="129">
      <c r="AD129" s="119"/>
    </row>
    <row r="130">
      <c r="AD130" s="119"/>
    </row>
    <row r="131">
      <c r="AB131" s="124"/>
      <c r="AD131" s="119"/>
    </row>
    <row r="132">
      <c r="AB132" s="125"/>
      <c r="AC132" s="100"/>
      <c r="AD132" s="100"/>
    </row>
    <row r="133">
      <c r="AB133" s="126"/>
      <c r="AD133" s="119"/>
    </row>
    <row r="134">
      <c r="AB134" s="125"/>
      <c r="AD134" s="119"/>
    </row>
    <row r="135">
      <c r="AB135" s="126"/>
      <c r="AC135" s="100"/>
      <c r="AD135" s="100"/>
    </row>
    <row r="136">
      <c r="AB136" s="125"/>
      <c r="AC136" s="100"/>
      <c r="AD136" s="100"/>
    </row>
    <row r="137">
      <c r="AB137" s="127"/>
      <c r="AC137" s="100"/>
      <c r="AD137" s="100"/>
    </row>
    <row r="138">
      <c r="AD138" s="119"/>
    </row>
    <row r="139">
      <c r="AD139" s="119"/>
    </row>
    <row r="140">
      <c r="AD140" s="119"/>
    </row>
    <row r="141">
      <c r="AD141" s="119"/>
    </row>
    <row r="142">
      <c r="AD142" s="119"/>
    </row>
    <row r="143">
      <c r="AD143" s="119"/>
    </row>
    <row r="144">
      <c r="AD144" s="119"/>
    </row>
    <row r="145">
      <c r="AD145" s="119"/>
    </row>
    <row r="146">
      <c r="AD146" s="119"/>
    </row>
    <row r="147">
      <c r="AD147" s="119"/>
    </row>
    <row r="148">
      <c r="AD148" s="119"/>
    </row>
    <row r="149">
      <c r="AB149" s="124"/>
      <c r="AC149" s="100"/>
      <c r="AD149" s="100"/>
    </row>
    <row r="150">
      <c r="AB150" s="125"/>
      <c r="AC150" s="100"/>
      <c r="AD150" s="100"/>
    </row>
    <row r="151">
      <c r="AB151" s="126"/>
      <c r="AC151" s="100"/>
      <c r="AD151" s="100"/>
    </row>
    <row r="152">
      <c r="AB152" s="125"/>
      <c r="AC152" s="100"/>
      <c r="AD152" s="100"/>
    </row>
    <row r="153">
      <c r="AB153" s="126"/>
      <c r="AD153" s="119"/>
    </row>
    <row r="154">
      <c r="AB154" s="125"/>
      <c r="AC154" s="100"/>
      <c r="AD154" s="100"/>
    </row>
    <row r="155">
      <c r="AB155" s="127"/>
      <c r="AD155" s="119"/>
    </row>
    <row r="156">
      <c r="AD156" s="119"/>
    </row>
    <row r="157">
      <c r="AD157" s="119"/>
    </row>
    <row r="158">
      <c r="AD158" s="119"/>
    </row>
    <row r="159">
      <c r="AD159" s="119"/>
    </row>
    <row r="160">
      <c r="AD160" s="119"/>
    </row>
    <row r="161">
      <c r="AD161" s="119"/>
    </row>
    <row r="162">
      <c r="AD162" s="119"/>
    </row>
    <row r="163">
      <c r="AB163" s="124"/>
      <c r="AD163" s="119"/>
    </row>
    <row r="164">
      <c r="AB164" s="125"/>
      <c r="AC164" s="100"/>
      <c r="AD164" s="100"/>
    </row>
    <row r="165">
      <c r="AB165" s="126"/>
      <c r="AD165" s="119"/>
    </row>
    <row r="166">
      <c r="AB166" s="125"/>
      <c r="AC166" s="100"/>
      <c r="AD166" s="100"/>
    </row>
    <row r="167">
      <c r="AB167" s="126"/>
      <c r="AC167" s="100"/>
      <c r="AD167" s="100"/>
    </row>
    <row r="168">
      <c r="AB168" s="125"/>
      <c r="AC168" s="100"/>
      <c r="AD168" s="100"/>
    </row>
    <row r="169">
      <c r="AB169" s="127"/>
      <c r="AC169" s="100"/>
      <c r="AD169" s="100"/>
    </row>
    <row r="170">
      <c r="AD170" s="119"/>
    </row>
    <row r="171">
      <c r="AD171" s="119"/>
    </row>
    <row r="172">
      <c r="AD172" s="119"/>
    </row>
    <row r="173">
      <c r="AD173" s="119"/>
    </row>
    <row r="174">
      <c r="AD174" s="119"/>
    </row>
    <row r="175">
      <c r="AB175" s="124"/>
      <c r="AC175" s="100"/>
      <c r="AD175" s="100"/>
    </row>
    <row r="176">
      <c r="AB176" s="125"/>
      <c r="AC176" s="100"/>
      <c r="AD176" s="100"/>
    </row>
    <row r="177">
      <c r="AB177" s="126"/>
      <c r="AD177" s="119"/>
    </row>
    <row r="178">
      <c r="AB178" s="125"/>
      <c r="AC178" s="100"/>
      <c r="AD178" s="100"/>
    </row>
    <row r="179">
      <c r="AB179" s="126"/>
      <c r="AD179" s="119"/>
    </row>
    <row r="180">
      <c r="AB180" s="125"/>
      <c r="AC180" s="100"/>
      <c r="AD180" s="100"/>
    </row>
    <row r="181">
      <c r="AB181" s="127"/>
      <c r="AD181" s="119"/>
    </row>
    <row r="182">
      <c r="AD182" s="119"/>
    </row>
    <row r="183">
      <c r="AD183" s="119"/>
    </row>
    <row r="184">
      <c r="AD184" s="119"/>
    </row>
    <row r="185">
      <c r="AD185" s="119"/>
    </row>
    <row r="186">
      <c r="AD186" s="119"/>
    </row>
    <row r="187">
      <c r="AD187" s="119"/>
    </row>
    <row r="188">
      <c r="AB188" s="124"/>
      <c r="AC188" s="100"/>
      <c r="AD188" s="100"/>
    </row>
    <row r="189">
      <c r="AB189" s="125"/>
      <c r="AD189" s="119"/>
    </row>
    <row r="190">
      <c r="AB190" s="126"/>
      <c r="AC190" s="100"/>
      <c r="AD190" s="100"/>
    </row>
    <row r="191">
      <c r="AB191" s="125"/>
      <c r="AD191" s="119"/>
    </row>
    <row r="192">
      <c r="AB192" s="126"/>
      <c r="AD192" s="119"/>
    </row>
    <row r="193">
      <c r="AB193" s="125"/>
      <c r="AD193" s="119"/>
    </row>
    <row r="194">
      <c r="AB194" s="127"/>
      <c r="AC194" s="100"/>
      <c r="AD194" s="100"/>
    </row>
    <row r="195">
      <c r="AD195" s="119"/>
    </row>
    <row r="196">
      <c r="AD196" s="119"/>
    </row>
    <row r="197">
      <c r="AD197" s="119"/>
    </row>
    <row r="198">
      <c r="AD198" s="119"/>
    </row>
    <row r="199">
      <c r="AD199" s="119"/>
    </row>
    <row r="200">
      <c r="AD200" s="119"/>
    </row>
    <row r="201">
      <c r="AB201" s="124"/>
      <c r="AD201" s="119"/>
    </row>
    <row r="202">
      <c r="AB202" s="125"/>
      <c r="AD202" s="119"/>
    </row>
    <row r="203">
      <c r="AB203" s="126"/>
      <c r="AD203" s="119"/>
    </row>
    <row r="204">
      <c r="AB204" s="125"/>
      <c r="AC204" s="100"/>
      <c r="AD204" s="100"/>
    </row>
    <row r="205">
      <c r="AB205" s="126"/>
      <c r="AD205" s="119"/>
    </row>
    <row r="206">
      <c r="AB206" s="125"/>
      <c r="AD206" s="119"/>
    </row>
    <row r="207">
      <c r="AB207" s="127"/>
      <c r="AD207" s="119"/>
    </row>
    <row r="208">
      <c r="AD208" s="119"/>
    </row>
    <row r="209">
      <c r="AD209" s="119"/>
    </row>
    <row r="210">
      <c r="AD210" s="119"/>
    </row>
    <row r="211">
      <c r="AD211" s="119"/>
    </row>
    <row r="212">
      <c r="AD212" s="119"/>
    </row>
    <row r="213">
      <c r="AD213" s="119"/>
    </row>
    <row r="214">
      <c r="AB214" s="124"/>
      <c r="AC214" s="100"/>
      <c r="AD214" s="100"/>
    </row>
    <row r="215">
      <c r="AB215" s="125"/>
      <c r="AC215" s="100"/>
      <c r="AD215" s="119"/>
    </row>
    <row r="216">
      <c r="AB216" s="126"/>
      <c r="AC216" s="100"/>
      <c r="AD216" s="100"/>
    </row>
    <row r="217">
      <c r="AB217" s="125"/>
      <c r="AC217" s="100"/>
      <c r="AD217" s="100"/>
    </row>
    <row r="218">
      <c r="AB218" s="126"/>
      <c r="AC218" s="100"/>
      <c r="AD218" s="100"/>
    </row>
    <row r="219">
      <c r="AB219" s="125"/>
      <c r="AC219" s="100"/>
      <c r="AD219" s="100"/>
    </row>
    <row r="220">
      <c r="AB220" s="127"/>
      <c r="AD220" s="119"/>
    </row>
    <row r="221">
      <c r="AD221" s="119"/>
    </row>
    <row r="222">
      <c r="AD222" s="119"/>
    </row>
    <row r="223">
      <c r="AD223" s="119"/>
    </row>
    <row r="224">
      <c r="AD224" s="119"/>
    </row>
    <row r="225">
      <c r="AD225" s="119"/>
    </row>
    <row r="226">
      <c r="AD226" s="119"/>
    </row>
    <row r="227">
      <c r="AD227" s="119"/>
    </row>
    <row r="228">
      <c r="AD228" s="119"/>
    </row>
    <row r="229">
      <c r="AB229" s="124"/>
      <c r="AC229" s="100"/>
      <c r="AD229" s="100"/>
    </row>
    <row r="230">
      <c r="AB230" s="125"/>
      <c r="AC230" s="100"/>
      <c r="AD230" s="100"/>
    </row>
    <row r="231">
      <c r="AB231" s="126"/>
      <c r="AD231" s="119"/>
    </row>
    <row r="232">
      <c r="AB232" s="125"/>
      <c r="AD232" s="119"/>
    </row>
    <row r="233">
      <c r="AB233" s="126"/>
      <c r="AC233" s="100"/>
      <c r="AD233" s="100"/>
    </row>
    <row r="234">
      <c r="AB234" s="125"/>
      <c r="AC234" s="100"/>
      <c r="AD234" s="100"/>
    </row>
    <row r="235">
      <c r="AB235" s="127"/>
      <c r="AD235" s="119"/>
    </row>
    <row r="236">
      <c r="AD236" s="119"/>
    </row>
    <row r="237">
      <c r="AD237" s="119"/>
    </row>
    <row r="238">
      <c r="AD238" s="119"/>
    </row>
    <row r="239">
      <c r="AD239" s="119"/>
    </row>
    <row r="240">
      <c r="AD240" s="119"/>
    </row>
    <row r="241">
      <c r="AD241" s="119"/>
    </row>
    <row r="242">
      <c r="AD242" s="119"/>
    </row>
    <row r="243">
      <c r="AD243" s="119"/>
    </row>
    <row r="244">
      <c r="AB244" s="124"/>
      <c r="AC244" s="100"/>
      <c r="AD244" s="100"/>
    </row>
    <row r="245">
      <c r="AB245" s="125"/>
      <c r="AC245" s="100"/>
      <c r="AD245" s="100"/>
    </row>
    <row r="246">
      <c r="AB246" s="126"/>
      <c r="AC246" s="100"/>
      <c r="AD246" s="100"/>
    </row>
    <row r="247">
      <c r="AB247" s="125"/>
      <c r="AD247" s="119"/>
    </row>
    <row r="248">
      <c r="AB248" s="126"/>
      <c r="AC248" s="100"/>
      <c r="AD248" s="100"/>
    </row>
    <row r="249">
      <c r="AB249" s="125"/>
      <c r="AC249" s="100"/>
      <c r="AD249" s="100"/>
    </row>
    <row r="250">
      <c r="AB250" s="127"/>
      <c r="AC250" s="100"/>
      <c r="AD250" s="100"/>
    </row>
    <row r="251">
      <c r="AD251" s="119"/>
    </row>
    <row r="252">
      <c r="AD252" s="119"/>
    </row>
    <row r="253">
      <c r="AD253" s="119"/>
    </row>
    <row r="254">
      <c r="AD254" s="119"/>
    </row>
    <row r="255">
      <c r="AD255" s="119"/>
    </row>
    <row r="256">
      <c r="AD256" s="119"/>
    </row>
    <row r="257">
      <c r="AD257" s="119"/>
    </row>
    <row r="258">
      <c r="AB258" s="124"/>
      <c r="AD258" s="119"/>
    </row>
    <row r="259">
      <c r="AB259" s="125"/>
      <c r="AC259" s="100"/>
      <c r="AD259" s="100"/>
    </row>
    <row r="260">
      <c r="AB260" s="126"/>
      <c r="AC260" s="100"/>
      <c r="AD260" s="100"/>
    </row>
    <row r="261">
      <c r="AB261" s="125"/>
      <c r="AC261" s="100"/>
      <c r="AD261" s="100"/>
    </row>
    <row r="262">
      <c r="AB262" s="126"/>
      <c r="AD262" s="119"/>
    </row>
    <row r="263">
      <c r="AB263" s="125"/>
      <c r="AD263" s="119"/>
    </row>
    <row r="264">
      <c r="AB264" s="127"/>
      <c r="AD264" s="119"/>
    </row>
    <row r="265">
      <c r="AD265" s="119"/>
    </row>
    <row r="266">
      <c r="AD266" s="119"/>
    </row>
    <row r="267">
      <c r="AD267" s="119"/>
    </row>
    <row r="268">
      <c r="AD268" s="119"/>
    </row>
    <row r="269">
      <c r="AD269" s="119"/>
    </row>
    <row r="270">
      <c r="AD270" s="119"/>
    </row>
    <row r="271">
      <c r="AB271" s="124"/>
      <c r="AC271" s="100"/>
      <c r="AD271" s="100"/>
    </row>
    <row r="272">
      <c r="AB272" s="125"/>
      <c r="AC272" s="100"/>
      <c r="AD272" s="100"/>
    </row>
    <row r="273">
      <c r="AB273" s="126"/>
      <c r="AC273" s="100"/>
      <c r="AD273" s="100"/>
    </row>
    <row r="274">
      <c r="AB274" s="125"/>
      <c r="AC274" s="100"/>
      <c r="AD274" s="100"/>
    </row>
    <row r="275">
      <c r="AB275" s="126"/>
      <c r="AC275" s="100"/>
      <c r="AD275" s="100"/>
    </row>
    <row r="276">
      <c r="AB276" s="125"/>
      <c r="AC276" s="100"/>
      <c r="AD276" s="100"/>
    </row>
    <row r="277">
      <c r="AB277" s="127"/>
      <c r="AC277" s="100"/>
      <c r="AD277" s="100"/>
    </row>
    <row r="278">
      <c r="AD278" s="119"/>
    </row>
    <row r="279">
      <c r="AD279" s="119"/>
    </row>
    <row r="280">
      <c r="AD280" s="119"/>
    </row>
    <row r="281">
      <c r="AD281" s="119"/>
    </row>
    <row r="282">
      <c r="AD282" s="119"/>
    </row>
    <row r="283">
      <c r="AD283" s="119"/>
    </row>
    <row r="284">
      <c r="AD284" s="119"/>
    </row>
    <row r="285">
      <c r="AD285" s="119"/>
    </row>
    <row r="286">
      <c r="AB286" s="124"/>
      <c r="AC286" s="100"/>
      <c r="AD286" s="100"/>
    </row>
    <row r="287">
      <c r="AB287" s="125"/>
      <c r="AC287" s="100"/>
      <c r="AD287" s="100"/>
    </row>
    <row r="288">
      <c r="AB288" s="126"/>
      <c r="AD288" s="119"/>
    </row>
    <row r="289">
      <c r="AB289" s="125"/>
      <c r="AC289" s="100"/>
      <c r="AD289" s="100"/>
    </row>
    <row r="290">
      <c r="AB290" s="126"/>
      <c r="AC290" s="100"/>
      <c r="AD290" s="100"/>
    </row>
    <row r="291">
      <c r="AB291" s="125"/>
      <c r="AC291" s="100"/>
      <c r="AD291" s="100"/>
    </row>
    <row r="292">
      <c r="AB292" s="127"/>
      <c r="AC292" s="100"/>
      <c r="AD292" s="100"/>
    </row>
    <row r="293">
      <c r="AD293" s="119"/>
    </row>
    <row r="294">
      <c r="AD294" s="119"/>
    </row>
    <row r="295">
      <c r="AD295" s="119"/>
    </row>
    <row r="296">
      <c r="AD296" s="119"/>
    </row>
    <row r="297">
      <c r="AD297" s="119"/>
    </row>
    <row r="298">
      <c r="AD298" s="119"/>
    </row>
    <row r="299">
      <c r="AD299" s="119"/>
    </row>
    <row r="300">
      <c r="AD300" s="119"/>
    </row>
    <row r="301">
      <c r="AD301" s="119"/>
    </row>
    <row r="302">
      <c r="AD302" s="119"/>
    </row>
    <row r="303">
      <c r="AB303" s="124"/>
      <c r="AC303" s="100"/>
      <c r="AD303" s="100"/>
    </row>
    <row r="304">
      <c r="AB304" s="125"/>
      <c r="AD304" s="119"/>
    </row>
    <row r="305">
      <c r="AB305" s="126"/>
      <c r="AC305" s="100"/>
      <c r="AD305" s="100"/>
    </row>
    <row r="306">
      <c r="AB306" s="125"/>
      <c r="AC306" s="100"/>
      <c r="AD306" s="100"/>
    </row>
    <row r="307">
      <c r="AB307" s="126"/>
      <c r="AD307" s="119"/>
    </row>
    <row r="308">
      <c r="AB308" s="125"/>
      <c r="AD308" s="119"/>
    </row>
    <row r="309">
      <c r="AB309" s="127"/>
      <c r="AD309" s="119"/>
    </row>
    <row r="310">
      <c r="AD310" s="119"/>
    </row>
    <row r="311">
      <c r="AD311" s="119"/>
    </row>
    <row r="312">
      <c r="AD312" s="119"/>
    </row>
    <row r="313">
      <c r="AD313" s="119"/>
    </row>
    <row r="314">
      <c r="AD314" s="119"/>
    </row>
    <row r="315">
      <c r="AD315" s="119"/>
    </row>
    <row r="316">
      <c r="AD316" s="119"/>
    </row>
    <row r="317">
      <c r="AD317" s="119"/>
    </row>
    <row r="318">
      <c r="AB318" s="124"/>
      <c r="AC318" s="100"/>
      <c r="AD318" s="100"/>
    </row>
    <row r="319">
      <c r="AB319" s="125"/>
      <c r="AD319" s="119"/>
    </row>
    <row r="320">
      <c r="AB320" s="126"/>
      <c r="AC320" s="100"/>
      <c r="AD320" s="100"/>
    </row>
    <row r="321">
      <c r="AB321" s="125"/>
      <c r="AC321" s="100"/>
      <c r="AD321" s="100"/>
    </row>
    <row r="322">
      <c r="AB322" s="126"/>
      <c r="AD322" s="119"/>
    </row>
    <row r="323">
      <c r="AB323" s="125"/>
      <c r="AD323" s="119"/>
    </row>
    <row r="324">
      <c r="AB324" s="127"/>
      <c r="AD324" s="119"/>
    </row>
    <row r="325">
      <c r="AD325" s="119"/>
    </row>
    <row r="326">
      <c r="AD326" s="119"/>
    </row>
    <row r="327">
      <c r="AD327" s="119"/>
    </row>
    <row r="328">
      <c r="AD328" s="119"/>
    </row>
    <row r="329">
      <c r="AD329" s="119"/>
    </row>
    <row r="330">
      <c r="AD330" s="119"/>
    </row>
    <row r="331">
      <c r="AD331" s="119"/>
    </row>
    <row r="332">
      <c r="AD332" s="119"/>
    </row>
    <row r="333">
      <c r="AB333" s="124"/>
      <c r="AD333" s="119"/>
    </row>
    <row r="334">
      <c r="AB334" s="125"/>
      <c r="AC334" s="100"/>
      <c r="AD334" s="100"/>
    </row>
    <row r="335">
      <c r="AB335" s="126"/>
      <c r="AD335" s="119"/>
    </row>
    <row r="336">
      <c r="AB336" s="125"/>
      <c r="AC336" s="100"/>
      <c r="AD336" s="100"/>
    </row>
    <row r="337">
      <c r="AB337" s="126"/>
      <c r="AD337" s="119"/>
    </row>
    <row r="338">
      <c r="AB338" s="125"/>
      <c r="AC338" s="100"/>
      <c r="AD338" s="100"/>
    </row>
    <row r="339">
      <c r="AB339" s="127"/>
      <c r="AD339" s="119"/>
    </row>
    <row r="340">
      <c r="AD340" s="119"/>
    </row>
    <row r="341">
      <c r="AD341" s="119"/>
    </row>
    <row r="342">
      <c r="AD342" s="119"/>
    </row>
    <row r="343">
      <c r="AD343" s="119"/>
    </row>
    <row r="344">
      <c r="AD344" s="119"/>
    </row>
    <row r="345">
      <c r="AD345" s="119"/>
    </row>
    <row r="346">
      <c r="AD346" s="119"/>
    </row>
    <row r="347">
      <c r="AD347" s="119"/>
    </row>
    <row r="348">
      <c r="AB348" s="100"/>
      <c r="AC348" s="100"/>
      <c r="AD348" s="100"/>
    </row>
    <row r="349">
      <c r="AB349" s="100"/>
      <c r="AC349" s="100"/>
      <c r="AD349" s="100"/>
    </row>
    <row r="350">
      <c r="AB350" s="100"/>
      <c r="AC350" s="100"/>
      <c r="AD350" s="100"/>
    </row>
    <row r="351">
      <c r="AB351" s="100"/>
      <c r="AC351" s="100"/>
      <c r="AD351" s="100"/>
    </row>
    <row r="352">
      <c r="AD352" s="119"/>
    </row>
    <row r="353">
      <c r="AD353" s="119"/>
    </row>
    <row r="354">
      <c r="AD354" s="119"/>
    </row>
    <row r="355">
      <c r="AD355" s="119"/>
    </row>
    <row r="356">
      <c r="AD356" s="119"/>
    </row>
    <row r="357">
      <c r="AD357" s="119"/>
    </row>
    <row r="358">
      <c r="AD358" s="119"/>
    </row>
    <row r="359">
      <c r="AD359" s="119"/>
    </row>
    <row r="360">
      <c r="AD360" s="119"/>
    </row>
    <row r="361">
      <c r="AB361" s="100"/>
      <c r="AD361" s="119"/>
    </row>
    <row r="362">
      <c r="AB362" s="100"/>
      <c r="AC362" s="100"/>
      <c r="AD362" s="100"/>
    </row>
    <row r="363">
      <c r="AB363" s="100"/>
      <c r="AC363" s="100"/>
      <c r="AD363" s="100"/>
    </row>
    <row r="364">
      <c r="AB364" s="100"/>
      <c r="AC364" s="100"/>
      <c r="AD364" s="100"/>
    </row>
    <row r="365">
      <c r="AD365" s="119"/>
    </row>
    <row r="366">
      <c r="AD366" s="119"/>
    </row>
    <row r="367">
      <c r="AD367" s="119"/>
    </row>
    <row r="368">
      <c r="AD368" s="119"/>
    </row>
    <row r="369">
      <c r="AD369" s="119"/>
    </row>
    <row r="370">
      <c r="AD370" s="119"/>
    </row>
    <row r="371">
      <c r="AD371" s="119"/>
    </row>
    <row r="372">
      <c r="AD372" s="119"/>
    </row>
    <row r="373">
      <c r="AD373" s="119"/>
    </row>
    <row r="374">
      <c r="AD374" s="119"/>
    </row>
    <row r="375">
      <c r="AD375" s="119"/>
    </row>
    <row r="376">
      <c r="AD376" s="119"/>
    </row>
    <row r="377">
      <c r="AD377" s="119"/>
    </row>
    <row r="378">
      <c r="AD378" s="119"/>
    </row>
    <row r="379">
      <c r="AD379" s="119"/>
    </row>
    <row r="380">
      <c r="AD380" s="119"/>
    </row>
    <row r="381">
      <c r="AD381" s="119"/>
    </row>
    <row r="382">
      <c r="AD382" s="119"/>
    </row>
  </sheetData>
  <mergeCells count="4">
    <mergeCell ref="A1:Q1"/>
    <mergeCell ref="A22:Q22"/>
    <mergeCell ref="A35:Q35"/>
    <mergeCell ref="A48:Q48"/>
  </mergeCells>
  <dataValidations>
    <dataValidation type="list" allowBlank="1" showErrorMessage="1" sqref="AD2:AD382">
      <formula1>Total!$A$3:$A$21</formula1>
    </dataValidation>
  </dataValidations>
  <hyperlinks>
    <hyperlink r:id="rId1" ref="A3"/>
    <hyperlink r:id="rId2" ref="A4"/>
    <hyperlink r:id="rId3" ref="R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4"/>
    <hyperlink r:id="rId20" ref="R24"/>
    <hyperlink r:id="rId21" ref="A25"/>
    <hyperlink r:id="rId22" ref="R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7"/>
    <hyperlink r:id="rId31" ref="R37"/>
    <hyperlink r:id="rId32" ref="A38"/>
    <hyperlink r:id="rId33" ref="R38"/>
    <hyperlink r:id="rId34" ref="A39"/>
    <hyperlink r:id="rId35" ref="R39"/>
    <hyperlink r:id="rId36" ref="A40"/>
    <hyperlink r:id="rId37" ref="A41"/>
    <hyperlink r:id="rId38" ref="A42"/>
    <hyperlink r:id="rId39" ref="A43"/>
    <hyperlink r:id="rId40" ref="A44"/>
    <hyperlink r:id="rId41" ref="A45"/>
    <hyperlink r:id="rId42" ref="A50"/>
    <hyperlink r:id="rId43" ref="R50"/>
    <hyperlink r:id="rId44" ref="A51"/>
    <hyperlink r:id="rId45" ref="R51"/>
    <hyperlink r:id="rId46" ref="A52"/>
    <hyperlink r:id="rId47" ref="A53"/>
    <hyperlink r:id="rId48" ref="A54"/>
    <hyperlink r:id="rId49" ref="A55"/>
    <hyperlink r:id="rId50" ref="A56"/>
    <hyperlink r:id="rId51" ref="A57"/>
    <hyperlink r:id="rId52" ref="A58"/>
  </hyperlinks>
  <drawing r:id="rId53"/>
</worksheet>
</file>